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شركة الغدير" sheetId="1" state="visible" r:id="rId1"/>
    <sheet name="شركة بدور بغداد" sheetId="2" state="visible" r:id="rId2"/>
    <sheet name="بدور بغداد - أمانات المستشار" sheetId="3" state="visible" r:id="rId3"/>
    <sheet name="طيبة النجف" sheetId="4" state="visible" r:id="rId4"/>
    <sheet name="غدير كربلاء" sheetId="5" state="visible" r:id="rId5"/>
    <sheet name="بدور النجف" sheetId="6" state="visible" r:id="rId6"/>
    <sheet name="الغدير - فرعي كربلاء" sheetId="7" state="visible" r:id="rId7"/>
    <sheet name="غدير كربلاء - الفرعي" sheetId="8" state="visible" r:id="rId8"/>
    <sheet name="الغدير الفرعي - النجف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د.ع&quot; #,##0;-&quot;د.ع&quot; #,##0;&quot;د.ع&quot; -"/>
    <numFmt numFmtId="165" formatCode="&quot;$&quot; #,##0.00;-&quot;$&quot; #,##0.00;&quot;$&quot; -"/>
    <numFmt numFmtId="166" formatCode="#,##0&quot; د.ع&quot;"/>
    <numFmt numFmtId="167" formatCode="#,##0&quot; $&quot;"/>
  </numFmts>
  <fonts count="51">
    <font>
      <name val="Calibri"/>
      <family val="2"/>
      <color theme="1"/>
      <sz val="11"/>
      <scheme val="minor"/>
    </font>
    <font>
      <name val="Calibri"/>
      <b val="1"/>
      <color rgb="000F2E6B"/>
      <sz val="9"/>
    </font>
    <font>
      <name val="Calibri"/>
      <color rgb="000F2E6B"/>
      <sz val="9"/>
    </font>
    <font>
      <name val="Calibri"/>
      <b val="1"/>
      <color rgb="000F2E6B"/>
      <sz val="15"/>
    </font>
    <font>
      <name val="Calibri"/>
      <b val="1"/>
      <color rgb="007FA3C9"/>
      <sz val="9"/>
    </font>
    <font>
      <name val="Calibri"/>
      <b val="1"/>
      <color rgb="000F2E6B"/>
      <sz val="10"/>
    </font>
    <font>
      <name val="Calibri"/>
      <b val="1"/>
      <color rgb="000F2E6B"/>
      <sz val="8"/>
    </font>
    <font>
      <name val="Calibri"/>
      <color rgb="00222222"/>
      <sz val="9"/>
    </font>
    <font>
      <name val="Calibri"/>
      <b val="1"/>
      <color rgb="002E7D5B"/>
      <sz val="9"/>
    </font>
    <font>
      <name val="Calibri"/>
      <b val="1"/>
      <color rgb="00C44B4B"/>
      <sz val="9"/>
    </font>
    <font>
      <name val="Calibri"/>
      <b val="1"/>
      <color rgb="000F2E6B"/>
      <sz val="14"/>
    </font>
    <font>
      <name val="Calibri"/>
      <b val="1"/>
      <color rgb="002E7D5B"/>
      <sz val="14"/>
    </font>
    <font>
      <name val="Calibri"/>
      <b val="1"/>
      <color rgb="00C44B4B"/>
      <sz val="14"/>
    </font>
    <font>
      <name val="Calibri"/>
      <b val="1"/>
      <color rgb="00FFFFFF"/>
      <sz val="10"/>
    </font>
    <font>
      <name val="Calibri"/>
      <color rgb="00C5CDD8"/>
      <sz val="8"/>
    </font>
    <font>
      <name val="Calibri"/>
      <color rgb="00C5CDD8"/>
      <sz val="10"/>
    </font>
    <font>
      <name val="Calibri"/>
      <b val="1"/>
      <color rgb="0000487C"/>
      <sz val="9"/>
    </font>
    <font>
      <name val="Calibri"/>
      <color rgb="0000487C"/>
      <sz val="9"/>
    </font>
    <font>
      <name val="Calibri"/>
      <b val="1"/>
      <color rgb="0000487C"/>
      <sz val="15"/>
    </font>
    <font>
      <name val="Calibri"/>
      <b val="1"/>
      <color rgb="0059A2D6"/>
      <sz val="9"/>
    </font>
    <font>
      <name val="Calibri"/>
      <b val="1"/>
      <color rgb="0000487C"/>
      <sz val="10"/>
    </font>
    <font>
      <name val="Calibri"/>
      <b val="1"/>
      <color rgb="0000487C"/>
      <sz val="8"/>
    </font>
    <font>
      <name val="Calibri"/>
      <b val="1"/>
      <color rgb="0000487C"/>
      <sz val="14"/>
    </font>
    <font>
      <name val="Calibri"/>
      <b val="1"/>
      <color rgb="0000645A"/>
      <sz val="9"/>
    </font>
    <font>
      <name val="Calibri"/>
      <color rgb="0000645A"/>
      <sz val="9"/>
    </font>
    <font>
      <name val="Calibri"/>
      <b val="1"/>
      <color rgb="0000645A"/>
      <sz val="15"/>
    </font>
    <font>
      <name val="Calibri"/>
      <b val="1"/>
      <color rgb="0061BDB4"/>
      <sz val="9"/>
    </font>
    <font>
      <name val="Calibri"/>
      <b val="1"/>
      <color rgb="0000645A"/>
      <sz val="10"/>
    </font>
    <font>
      <name val="Calibri"/>
      <b val="1"/>
      <color rgb="0000645A"/>
      <sz val="8"/>
    </font>
    <font>
      <name val="Calibri"/>
      <b val="1"/>
      <color rgb="0000645A"/>
      <sz val="14"/>
    </font>
    <font>
      <name val="Calibri"/>
      <b val="1"/>
      <color rgb="00175069"/>
      <sz val="9"/>
    </font>
    <font>
      <name val="Calibri"/>
      <color rgb="00175069"/>
      <sz val="9"/>
    </font>
    <font>
      <name val="Calibri"/>
      <b val="1"/>
      <color rgb="00175069"/>
      <sz val="15"/>
    </font>
    <font>
      <name val="Calibri"/>
      <b val="1"/>
      <color rgb="0077ABC3"/>
      <sz val="9"/>
    </font>
    <font>
      <name val="Calibri"/>
      <b val="1"/>
      <color rgb="00175069"/>
      <sz val="10"/>
    </font>
    <font>
      <name val="Calibri"/>
      <b val="1"/>
      <color rgb="00175069"/>
      <sz val="8"/>
    </font>
    <font>
      <name val="Calibri"/>
      <b val="1"/>
      <color rgb="00175069"/>
      <sz val="14"/>
    </font>
    <font>
      <name val="Calibri"/>
      <b val="1"/>
      <color rgb="00640522"/>
      <sz val="9"/>
    </font>
    <font>
      <name val="Calibri"/>
      <color rgb="00640522"/>
      <sz val="9"/>
    </font>
    <font>
      <name val="Calibri"/>
      <b val="1"/>
      <color rgb="00640522"/>
      <sz val="15"/>
    </font>
    <font>
      <name val="Calibri"/>
      <b val="1"/>
      <color rgb="00BE6782"/>
      <sz val="9"/>
    </font>
    <font>
      <name val="Calibri"/>
      <b val="1"/>
      <color rgb="00640522"/>
      <sz val="10"/>
    </font>
    <font>
      <name val="Calibri"/>
      <b val="1"/>
      <color rgb="00640522"/>
      <sz val="8"/>
    </font>
    <font>
      <name val="Calibri"/>
      <b val="1"/>
      <color rgb="00640522"/>
      <sz val="14"/>
    </font>
    <font>
      <name val="Calibri"/>
      <b val="1"/>
      <color rgb="0009113A"/>
      <sz val="9"/>
    </font>
    <font>
      <name val="Calibri"/>
      <color rgb="0009113A"/>
      <sz val="9"/>
    </font>
    <font>
      <name val="Calibri"/>
      <b val="1"/>
      <color rgb="0009113A"/>
      <sz val="15"/>
    </font>
    <font>
      <name val="Calibri"/>
      <b val="1"/>
      <color rgb="00666E93"/>
      <sz val="9"/>
    </font>
    <font>
      <name val="Calibri"/>
      <b val="1"/>
      <color rgb="0009113A"/>
      <sz val="10"/>
    </font>
    <font>
      <name val="Calibri"/>
      <b val="1"/>
      <color rgb="0009113A"/>
      <sz val="8"/>
    </font>
    <font>
      <name val="Calibri"/>
      <b val="1"/>
      <color rgb="0009113A"/>
      <sz val="14"/>
    </font>
  </fonts>
  <fills count="39">
    <fill>
      <patternFill/>
    </fill>
    <fill>
      <patternFill patternType="gray125"/>
    </fill>
    <fill>
      <patternFill patternType="solid">
        <fgColor rgb="00F6F7FB"/>
      </patternFill>
    </fill>
    <fill>
      <patternFill patternType="solid">
        <fgColor rgb="00FFFFFF"/>
      </patternFill>
    </fill>
    <fill>
      <patternFill patternType="solid">
        <fgColor rgb="00CFE4F9"/>
      </patternFill>
    </fill>
    <fill>
      <patternFill patternType="solid">
        <fgColor rgb="00F0F6FC"/>
      </patternFill>
    </fill>
    <fill>
      <patternFill patternType="solid">
        <fgColor rgb="00D0E0F5"/>
      </patternFill>
    </fill>
    <fill>
      <patternFill patternType="solid">
        <fgColor rgb="00E8F1FA"/>
      </patternFill>
    </fill>
    <fill>
      <patternFill patternType="solid">
        <fgColor rgb="000F2E6B"/>
      </patternFill>
    </fill>
    <fill>
      <patternFill patternType="solid">
        <fgColor rgb="00EDF4FA"/>
      </patternFill>
    </fill>
    <fill>
      <patternFill patternType="solid">
        <fgColor rgb="00C6DFF1"/>
      </patternFill>
    </fill>
    <fill>
      <patternFill patternType="solid">
        <fgColor rgb="00E5F0F8"/>
      </patternFill>
    </fill>
    <fill>
      <patternFill patternType="solid">
        <fgColor rgb="00B7D6ED"/>
      </patternFill>
    </fill>
    <fill>
      <patternFill patternType="solid">
        <fgColor rgb="00E0EDF7"/>
      </patternFill>
    </fill>
    <fill>
      <patternFill patternType="solid">
        <fgColor rgb="0000487C"/>
      </patternFill>
    </fill>
    <fill>
      <patternFill patternType="solid">
        <fgColor rgb="00EEF7F6"/>
      </patternFill>
    </fill>
    <fill>
      <patternFill patternType="solid">
        <fgColor rgb="00C9E8E5"/>
      </patternFill>
    </fill>
    <fill>
      <patternFill patternType="solid">
        <fgColor rgb="00E6F4F3"/>
      </patternFill>
    </fill>
    <fill>
      <patternFill patternType="solid">
        <fgColor rgb="00BBE2DE"/>
      </patternFill>
    </fill>
    <fill>
      <patternFill patternType="solid">
        <fgColor rgb="00E1F2F1"/>
      </patternFill>
    </fill>
    <fill>
      <patternFill patternType="solid">
        <fgColor rgb="0000645A"/>
      </patternFill>
    </fill>
    <fill>
      <patternFill patternType="solid">
        <fgColor rgb="00F0F6F8"/>
      </patternFill>
    </fill>
    <fill>
      <patternFill patternType="solid">
        <fgColor rgb="00D1E2EA"/>
      </patternFill>
    </fill>
    <fill>
      <patternFill patternType="solid">
        <fgColor rgb="00EAF2F5"/>
      </patternFill>
    </fill>
    <fill>
      <patternFill patternType="solid">
        <fgColor rgb="00C4DBE5"/>
      </patternFill>
    </fill>
    <fill>
      <patternFill patternType="solid">
        <fgColor rgb="00E6EFF3"/>
      </patternFill>
    </fill>
    <fill>
      <patternFill patternType="solid">
        <fgColor rgb="00175069"/>
      </patternFill>
    </fill>
    <fill>
      <patternFill patternType="solid">
        <fgColor rgb="00F8EEF1"/>
      </patternFill>
    </fill>
    <fill>
      <patternFill patternType="solid">
        <fgColor rgb="00E9CBD4"/>
      </patternFill>
    </fill>
    <fill>
      <patternFill patternType="solid">
        <fgColor rgb="00F5E7EB"/>
      </patternFill>
    </fill>
    <fill>
      <patternFill patternType="solid">
        <fgColor rgb="00E3BDC9"/>
      </patternFill>
    </fill>
    <fill>
      <patternFill patternType="solid">
        <fgColor rgb="00F3E3E7"/>
      </patternFill>
    </fill>
    <fill>
      <patternFill patternType="solid">
        <fgColor rgb="00640522"/>
      </patternFill>
    </fill>
    <fill>
      <patternFill patternType="solid">
        <fgColor rgb="00EEEFF3"/>
      </patternFill>
    </fill>
    <fill>
      <patternFill patternType="solid">
        <fgColor rgb="00CBCDDA"/>
      </patternFill>
    </fill>
    <fill>
      <patternFill patternType="solid">
        <fgColor rgb="00E7E8EE"/>
      </patternFill>
    </fill>
    <fill>
      <patternFill patternType="solid">
        <fgColor rgb="00BDC0D0"/>
      </patternFill>
    </fill>
    <fill>
      <patternFill patternType="solid">
        <fgColor rgb="00E2E4EB"/>
      </patternFill>
    </fill>
    <fill>
      <patternFill patternType="solid">
        <fgColor rgb="0009113A"/>
      </patternFill>
    </fill>
  </fills>
  <borders count="177">
    <border>
      <left/>
      <right/>
      <top/>
      <bottom/>
      <diagonal/>
    </border>
    <border>
      <left style="thin">
        <color rgb="00A8C4E0"/>
      </left>
      <right style="thin">
        <color rgb="00A8C4E0"/>
      </right>
      <top style="thin">
        <color rgb="00A8C4E0"/>
      </top>
      <bottom style="thin">
        <color rgb="00A8C4E0"/>
      </bottom>
    </border>
    <border>
      <left style="medium">
        <color rgb="007FA3C9"/>
      </left>
      <right style="medium">
        <color rgb="007FA3C9"/>
      </right>
      <top style="medium">
        <color rgb="007FA3C9"/>
      </top>
      <bottom style="medium">
        <color rgb="007FA3C9"/>
      </bottom>
    </border>
    <border>
      <left/>
      <right/>
      <top style="thin">
        <color rgb="00A8C4E0"/>
      </top>
      <bottom/>
      <diagonal/>
    </border>
    <border>
      <left style="thin">
        <color rgb="00A8C4E0"/>
      </left>
      <right/>
      <top/>
      <bottom/>
      <diagonal/>
    </border>
    <border>
      <left/>
      <right style="thin">
        <color rgb="00A8C4E0"/>
      </right>
      <top style="thin">
        <color rgb="00A8C4E0"/>
      </top>
      <bottom/>
      <diagonal/>
    </border>
    <border>
      <left/>
      <right style="thin">
        <color rgb="00A8C4E0"/>
      </right>
      <top/>
      <bottom/>
      <diagonal/>
    </border>
    <border>
      <left style="thin">
        <color rgb="00A8C4E0"/>
      </left>
      <right/>
      <top/>
      <bottom style="thin">
        <color rgb="00A8C4E0"/>
      </bottom>
      <diagonal/>
    </border>
    <border>
      <left/>
      <right/>
      <top/>
      <bottom style="thin">
        <color rgb="00A8C4E0"/>
      </bottom>
      <diagonal/>
    </border>
    <border>
      <left/>
      <right style="thin">
        <color rgb="00A8C4E0"/>
      </right>
      <top/>
      <bottom style="thin">
        <color rgb="00A8C4E0"/>
      </bottom>
      <diagonal/>
    </border>
    <border>
      <left style="dashed">
        <color rgb="007FA3C9"/>
      </left>
      <right style="dashed">
        <color rgb="007FA3C9"/>
      </right>
      <top style="dashed">
        <color rgb="007FA3C9"/>
      </top>
      <bottom style="dashed">
        <color rgb="007FA3C9"/>
      </bottom>
    </border>
    <border>
      <left/>
      <right style="thin">
        <color rgb="00A8C4E0"/>
      </right>
      <top style="thin">
        <color rgb="00A8C4E0"/>
      </top>
      <bottom style="thin">
        <color rgb="00A8C4E0"/>
      </bottom>
      <diagonal/>
    </border>
    <border>
      <left/>
      <right/>
      <top style="medium">
        <color rgb="007FA3C9"/>
      </top>
      <bottom/>
      <diagonal/>
    </border>
    <border>
      <left/>
      <right style="medium">
        <color rgb="007FA3C9"/>
      </right>
      <top style="medium">
        <color rgb="007FA3C9"/>
      </top>
      <bottom/>
      <diagonal/>
    </border>
    <border>
      <left/>
      <right/>
      <top style="medium">
        <color rgb="007FA3C9"/>
      </top>
      <bottom style="medium">
        <color rgb="007FA3C9"/>
      </bottom>
      <diagonal/>
    </border>
    <border>
      <left/>
      <right style="medium">
        <color rgb="007FA3C9"/>
      </right>
      <top style="medium">
        <color rgb="007FA3C9"/>
      </top>
      <bottom style="medium">
        <color rgb="007FA3C9"/>
      </bottom>
      <diagonal/>
    </border>
    <border>
      <left/>
      <right/>
      <top style="thin">
        <color rgb="00A8C4E0"/>
      </top>
      <bottom style="thin">
        <color rgb="00A8C4E0"/>
      </bottom>
      <diagonal/>
    </border>
    <border>
      <left style="thin">
        <color rgb="00A8C4E0"/>
      </left>
      <right style="thin">
        <color rgb="00A8C4E0"/>
      </right>
      <top/>
      <bottom/>
      <diagonal/>
    </border>
    <border>
      <left style="thin">
        <color rgb="00A8C4E0"/>
      </left>
      <right style="thin">
        <color rgb="00A8C4E0"/>
      </right>
      <top/>
      <bottom style="thin">
        <color rgb="00A8C4E0"/>
      </bottom>
      <diagonal/>
    </border>
    <border>
      <left style="medium">
        <color rgb="007FA3C9"/>
      </left>
      <right/>
      <top/>
      <bottom/>
      <diagonal/>
    </border>
    <border>
      <left/>
      <right style="medium">
        <color rgb="007FA3C9"/>
      </right>
      <top/>
      <bottom/>
      <diagonal/>
    </border>
    <border>
      <left style="medium">
        <color rgb="007FA3C9"/>
      </left>
      <right/>
      <top/>
      <bottom style="medium">
        <color rgb="007FA3C9"/>
      </bottom>
      <diagonal/>
    </border>
    <border>
      <left/>
      <right/>
      <top/>
      <bottom style="medium">
        <color rgb="007FA3C9"/>
      </bottom>
      <diagonal/>
    </border>
    <border>
      <left/>
      <right style="medium">
        <color rgb="007FA3C9"/>
      </right>
      <top/>
      <bottom style="medium">
        <color rgb="007FA3C9"/>
      </bottom>
      <diagonal/>
    </border>
    <border>
      <left/>
      <right/>
      <top style="dashed">
        <color rgb="007FA3C9"/>
      </top>
      <bottom/>
      <diagonal/>
    </border>
    <border>
      <left style="dashed">
        <color rgb="007FA3C9"/>
      </left>
      <right/>
      <top/>
      <bottom/>
      <diagonal/>
    </border>
    <border>
      <left/>
      <right style="dashed">
        <color rgb="007FA3C9"/>
      </right>
      <top style="dashed">
        <color rgb="007FA3C9"/>
      </top>
      <bottom/>
      <diagonal/>
    </border>
    <border>
      <left/>
      <right style="dashed">
        <color rgb="007FA3C9"/>
      </right>
      <top/>
      <bottom/>
      <diagonal/>
    </border>
    <border>
      <left style="dashed">
        <color rgb="007FA3C9"/>
      </left>
      <right/>
      <top/>
      <bottom style="dashed">
        <color rgb="007FA3C9"/>
      </bottom>
      <diagonal/>
    </border>
    <border>
      <left/>
      <right/>
      <top/>
      <bottom style="dashed">
        <color rgb="007FA3C9"/>
      </bottom>
      <diagonal/>
    </border>
    <border>
      <left/>
      <right style="dashed">
        <color rgb="007FA3C9"/>
      </right>
      <top/>
      <bottom style="dashed">
        <color rgb="007FA3C9"/>
      </bottom>
      <diagonal/>
    </border>
    <border>
      <left/>
      <right/>
      <top/>
      <bottom/>
    </border>
    <border>
      <left style="thin">
        <color rgb="0072B0DC"/>
      </left>
      <right style="thin">
        <color rgb="0072B0DC"/>
      </right>
      <top style="thin">
        <color rgb="0072B0DC"/>
      </top>
      <bottom style="thin">
        <color rgb="0072B0DC"/>
      </bottom>
    </border>
    <border>
      <left style="medium">
        <color rgb="0059A2D6"/>
      </left>
      <right style="medium">
        <color rgb="0059A2D6"/>
      </right>
      <top style="medium">
        <color rgb="0059A2D6"/>
      </top>
      <bottom style="medium">
        <color rgb="0059A2D6"/>
      </bottom>
    </border>
    <border>
      <left/>
      <right/>
      <top style="medium">
        <color rgb="0059A2D6"/>
      </top>
      <bottom/>
    </border>
    <border>
      <left/>
      <right style="medium">
        <color rgb="0059A2D6"/>
      </right>
      <top style="medium">
        <color rgb="0059A2D6"/>
      </top>
      <bottom/>
    </border>
    <border>
      <left style="dashed">
        <color rgb="0059A2D6"/>
      </left>
      <right style="dashed">
        <color rgb="0059A2D6"/>
      </right>
      <top style="dashed">
        <color rgb="0059A2D6"/>
      </top>
      <bottom style="dashed">
        <color rgb="0059A2D6"/>
      </bottom>
    </border>
    <border>
      <left/>
      <right/>
      <top style="dashed">
        <color rgb="0059A2D6"/>
      </top>
      <bottom/>
    </border>
    <border>
      <left/>
      <right style="dashed">
        <color rgb="0059A2D6"/>
      </right>
      <top style="dashed">
        <color rgb="0059A2D6"/>
      </top>
      <bottom/>
    </border>
    <border>
      <left style="medium">
        <color rgb="0059A2D6"/>
      </left>
      <right/>
      <top/>
      <bottom/>
    </border>
    <border>
      <left/>
      <right style="medium">
        <color rgb="0059A2D6"/>
      </right>
      <top/>
      <bottom/>
    </border>
    <border>
      <left style="dashed">
        <color rgb="0059A2D6"/>
      </left>
      <right/>
      <top/>
      <bottom/>
    </border>
    <border>
      <left/>
      <right style="dashed">
        <color rgb="0059A2D6"/>
      </right>
      <top/>
      <bottom/>
    </border>
    <border>
      <left style="medium">
        <color rgb="0059A2D6"/>
      </left>
      <right/>
      <top/>
      <bottom style="medium">
        <color rgb="0059A2D6"/>
      </bottom>
    </border>
    <border>
      <left/>
      <right/>
      <top/>
      <bottom style="medium">
        <color rgb="0059A2D6"/>
      </bottom>
    </border>
    <border>
      <left/>
      <right style="medium">
        <color rgb="0059A2D6"/>
      </right>
      <top/>
      <bottom style="medium">
        <color rgb="0059A2D6"/>
      </bottom>
    </border>
    <border>
      <left/>
      <right/>
      <top style="thin">
        <color rgb="0072B0DC"/>
      </top>
      <bottom/>
    </border>
    <border>
      <left/>
      <right style="thin">
        <color rgb="0072B0DC"/>
      </right>
      <top style="thin">
        <color rgb="0072B0DC"/>
      </top>
      <bottom/>
    </border>
    <border>
      <left style="thin">
        <color rgb="0072B0DC"/>
      </left>
      <right/>
      <top/>
      <bottom/>
    </border>
    <border>
      <left/>
      <right style="thin">
        <color rgb="0072B0DC"/>
      </right>
      <top/>
      <bottom/>
    </border>
    <border>
      <left style="thin">
        <color rgb="0072B0DC"/>
      </left>
      <right/>
      <top/>
      <bottom style="thin">
        <color rgb="0072B0DC"/>
      </bottom>
    </border>
    <border>
      <left/>
      <right/>
      <top/>
      <bottom style="thin">
        <color rgb="0072B0DC"/>
      </bottom>
    </border>
    <border>
      <left/>
      <right style="thin">
        <color rgb="0072B0DC"/>
      </right>
      <top/>
      <bottom style="thin">
        <color rgb="0072B0DC"/>
      </bottom>
    </border>
    <border>
      <left style="dashed">
        <color rgb="0059A2D6"/>
      </left>
      <right/>
      <top/>
      <bottom style="dashed">
        <color rgb="0059A2D6"/>
      </bottom>
    </border>
    <border>
      <left/>
      <right/>
      <top/>
      <bottom style="dashed">
        <color rgb="0059A2D6"/>
      </bottom>
    </border>
    <border>
      <left/>
      <right style="dashed">
        <color rgb="0059A2D6"/>
      </right>
      <top/>
      <bottom style="dashed">
        <color rgb="0059A2D6"/>
      </bottom>
    </border>
    <border>
      <left/>
      <right style="thin">
        <color rgb="0072B0DC"/>
      </right>
      <top style="thin">
        <color rgb="0072B0DC"/>
      </top>
      <bottom style="thin">
        <color rgb="0072B0DC"/>
      </bottom>
    </border>
    <border>
      <left/>
      <right/>
      <top style="thin">
        <color rgb="0072B0DC"/>
      </top>
      <bottom style="thin">
        <color rgb="0072B0DC"/>
      </bottom>
    </border>
    <border>
      <left style="thin">
        <color rgb="0072B0DC"/>
      </left>
      <right style="thin">
        <color rgb="0072B0DC"/>
      </right>
      <top/>
      <bottom style="thin">
        <color rgb="0072B0DC"/>
      </bottom>
    </border>
    <border>
      <left/>
      <right/>
      <top style="medium">
        <color rgb="0059A2D6"/>
      </top>
      <bottom style="medium">
        <color rgb="0059A2D6"/>
      </bottom>
    </border>
    <border>
      <left/>
      <right style="medium">
        <color rgb="0059A2D6"/>
      </right>
      <top style="medium">
        <color rgb="0059A2D6"/>
      </top>
      <bottom style="medium">
        <color rgb="0059A2D6"/>
      </bottom>
    </border>
    <border>
      <left style="thin">
        <color rgb="0079C7BF"/>
      </left>
      <right style="thin">
        <color rgb="0079C7BF"/>
      </right>
      <top style="thin">
        <color rgb="0079C7BF"/>
      </top>
      <bottom style="thin">
        <color rgb="0079C7BF"/>
      </bottom>
    </border>
    <border>
      <left style="medium">
        <color rgb="0061BDB4"/>
      </left>
      <right style="medium">
        <color rgb="0061BDB4"/>
      </right>
      <top style="medium">
        <color rgb="0061BDB4"/>
      </top>
      <bottom style="medium">
        <color rgb="0061BDB4"/>
      </bottom>
    </border>
    <border>
      <left/>
      <right/>
      <top style="medium">
        <color rgb="0061BDB4"/>
      </top>
      <bottom/>
    </border>
    <border>
      <left/>
      <right style="medium">
        <color rgb="0061BDB4"/>
      </right>
      <top style="medium">
        <color rgb="0061BDB4"/>
      </top>
      <bottom/>
    </border>
    <border>
      <left style="dashed">
        <color rgb="0061BDB4"/>
      </left>
      <right style="dashed">
        <color rgb="0061BDB4"/>
      </right>
      <top style="dashed">
        <color rgb="0061BDB4"/>
      </top>
      <bottom style="dashed">
        <color rgb="0061BDB4"/>
      </bottom>
    </border>
    <border>
      <left/>
      <right/>
      <top style="dashed">
        <color rgb="0061BDB4"/>
      </top>
      <bottom/>
    </border>
    <border>
      <left/>
      <right style="dashed">
        <color rgb="0061BDB4"/>
      </right>
      <top style="dashed">
        <color rgb="0061BDB4"/>
      </top>
      <bottom/>
    </border>
    <border>
      <left style="medium">
        <color rgb="0061BDB4"/>
      </left>
      <right/>
      <top/>
      <bottom/>
    </border>
    <border>
      <left/>
      <right style="medium">
        <color rgb="0061BDB4"/>
      </right>
      <top/>
      <bottom/>
    </border>
    <border>
      <left style="dashed">
        <color rgb="0061BDB4"/>
      </left>
      <right/>
      <top/>
      <bottom/>
    </border>
    <border>
      <left/>
      <right style="dashed">
        <color rgb="0061BDB4"/>
      </right>
      <top/>
      <bottom/>
    </border>
    <border>
      <left style="medium">
        <color rgb="0061BDB4"/>
      </left>
      <right/>
      <top/>
      <bottom style="medium">
        <color rgb="0061BDB4"/>
      </bottom>
    </border>
    <border>
      <left/>
      <right/>
      <top/>
      <bottom style="medium">
        <color rgb="0061BDB4"/>
      </bottom>
    </border>
    <border>
      <left/>
      <right style="medium">
        <color rgb="0061BDB4"/>
      </right>
      <top/>
      <bottom style="medium">
        <color rgb="0061BDB4"/>
      </bottom>
    </border>
    <border>
      <left/>
      <right/>
      <top style="thin">
        <color rgb="0079C7BF"/>
      </top>
      <bottom/>
    </border>
    <border>
      <left/>
      <right style="thin">
        <color rgb="0079C7BF"/>
      </right>
      <top style="thin">
        <color rgb="0079C7BF"/>
      </top>
      <bottom/>
    </border>
    <border>
      <left style="thin">
        <color rgb="0079C7BF"/>
      </left>
      <right/>
      <top/>
      <bottom/>
    </border>
    <border>
      <left/>
      <right style="thin">
        <color rgb="0079C7BF"/>
      </right>
      <top/>
      <bottom/>
    </border>
    <border>
      <left style="thin">
        <color rgb="0079C7BF"/>
      </left>
      <right/>
      <top/>
      <bottom style="thin">
        <color rgb="0079C7BF"/>
      </bottom>
    </border>
    <border>
      <left/>
      <right/>
      <top/>
      <bottom style="thin">
        <color rgb="0079C7BF"/>
      </bottom>
    </border>
    <border>
      <left/>
      <right style="thin">
        <color rgb="0079C7BF"/>
      </right>
      <top/>
      <bottom style="thin">
        <color rgb="0079C7BF"/>
      </bottom>
    </border>
    <border>
      <left style="dashed">
        <color rgb="0061BDB4"/>
      </left>
      <right/>
      <top/>
      <bottom style="dashed">
        <color rgb="0061BDB4"/>
      </bottom>
    </border>
    <border>
      <left/>
      <right/>
      <top/>
      <bottom style="dashed">
        <color rgb="0061BDB4"/>
      </bottom>
    </border>
    <border>
      <left/>
      <right style="dashed">
        <color rgb="0061BDB4"/>
      </right>
      <top/>
      <bottom style="dashed">
        <color rgb="0061BDB4"/>
      </bottom>
    </border>
    <border>
      <left/>
      <right style="thin">
        <color rgb="0079C7BF"/>
      </right>
      <top style="thin">
        <color rgb="0079C7BF"/>
      </top>
      <bottom style="thin">
        <color rgb="0079C7BF"/>
      </bottom>
    </border>
    <border>
      <left/>
      <right/>
      <top style="thin">
        <color rgb="0079C7BF"/>
      </top>
      <bottom style="thin">
        <color rgb="0079C7BF"/>
      </bottom>
    </border>
    <border>
      <left style="thin">
        <color rgb="0079C7BF"/>
      </left>
      <right style="thin">
        <color rgb="0079C7BF"/>
      </right>
      <top/>
      <bottom style="thin">
        <color rgb="0079C7BF"/>
      </bottom>
    </border>
    <border>
      <left/>
      <right/>
      <top style="medium">
        <color rgb="0061BDB4"/>
      </top>
      <bottom style="medium">
        <color rgb="0061BDB4"/>
      </bottom>
    </border>
    <border>
      <left/>
      <right style="medium">
        <color rgb="0061BDB4"/>
      </right>
      <top style="medium">
        <color rgb="0061BDB4"/>
      </top>
      <bottom style="medium">
        <color rgb="0061BDB4"/>
      </bottom>
    </border>
    <border>
      <left style="thin">
        <color rgb="008CB8CC"/>
      </left>
      <right style="thin">
        <color rgb="008CB8CC"/>
      </right>
      <top style="thin">
        <color rgb="008CB8CC"/>
      </top>
      <bottom style="thin">
        <color rgb="008CB8CC"/>
      </bottom>
    </border>
    <border>
      <left style="medium">
        <color rgb="0077ABC3"/>
      </left>
      <right style="medium">
        <color rgb="0077ABC3"/>
      </right>
      <top style="medium">
        <color rgb="0077ABC3"/>
      </top>
      <bottom style="medium">
        <color rgb="0077ABC3"/>
      </bottom>
    </border>
    <border>
      <left/>
      <right/>
      <top style="medium">
        <color rgb="0077ABC3"/>
      </top>
      <bottom/>
    </border>
    <border>
      <left/>
      <right style="medium">
        <color rgb="0077ABC3"/>
      </right>
      <top style="medium">
        <color rgb="0077ABC3"/>
      </top>
      <bottom/>
    </border>
    <border>
      <left style="dashed">
        <color rgb="0077ABC3"/>
      </left>
      <right style="dashed">
        <color rgb="0077ABC3"/>
      </right>
      <top style="dashed">
        <color rgb="0077ABC3"/>
      </top>
      <bottom style="dashed">
        <color rgb="0077ABC3"/>
      </bottom>
    </border>
    <border>
      <left/>
      <right/>
      <top style="dashed">
        <color rgb="0077ABC3"/>
      </top>
      <bottom/>
    </border>
    <border>
      <left/>
      <right style="dashed">
        <color rgb="0077ABC3"/>
      </right>
      <top style="dashed">
        <color rgb="0077ABC3"/>
      </top>
      <bottom/>
    </border>
    <border>
      <left style="medium">
        <color rgb="0077ABC3"/>
      </left>
      <right/>
      <top/>
      <bottom/>
    </border>
    <border>
      <left/>
      <right style="medium">
        <color rgb="0077ABC3"/>
      </right>
      <top/>
      <bottom/>
    </border>
    <border>
      <left style="dashed">
        <color rgb="0077ABC3"/>
      </left>
      <right/>
      <top/>
      <bottom/>
    </border>
    <border>
      <left/>
      <right style="dashed">
        <color rgb="0077ABC3"/>
      </right>
      <top/>
      <bottom/>
    </border>
    <border>
      <left style="medium">
        <color rgb="0077ABC3"/>
      </left>
      <right/>
      <top/>
      <bottom style="medium">
        <color rgb="0077ABC3"/>
      </bottom>
    </border>
    <border>
      <left/>
      <right/>
      <top/>
      <bottom style="medium">
        <color rgb="0077ABC3"/>
      </bottom>
    </border>
    <border>
      <left/>
      <right style="medium">
        <color rgb="0077ABC3"/>
      </right>
      <top/>
      <bottom style="medium">
        <color rgb="0077ABC3"/>
      </bottom>
    </border>
    <border>
      <left/>
      <right/>
      <top style="thin">
        <color rgb="008CB8CC"/>
      </top>
      <bottom/>
    </border>
    <border>
      <left/>
      <right style="thin">
        <color rgb="008CB8CC"/>
      </right>
      <top style="thin">
        <color rgb="008CB8CC"/>
      </top>
      <bottom/>
    </border>
    <border>
      <left style="thin">
        <color rgb="008CB8CC"/>
      </left>
      <right/>
      <top/>
      <bottom/>
    </border>
    <border>
      <left/>
      <right style="thin">
        <color rgb="008CB8CC"/>
      </right>
      <top/>
      <bottom/>
    </border>
    <border>
      <left style="thin">
        <color rgb="008CB8CC"/>
      </left>
      <right/>
      <top/>
      <bottom style="thin">
        <color rgb="008CB8CC"/>
      </bottom>
    </border>
    <border>
      <left/>
      <right/>
      <top/>
      <bottom style="thin">
        <color rgb="008CB8CC"/>
      </bottom>
    </border>
    <border>
      <left/>
      <right style="thin">
        <color rgb="008CB8CC"/>
      </right>
      <top/>
      <bottom style="thin">
        <color rgb="008CB8CC"/>
      </bottom>
    </border>
    <border>
      <left style="dashed">
        <color rgb="0077ABC3"/>
      </left>
      <right/>
      <top/>
      <bottom style="dashed">
        <color rgb="0077ABC3"/>
      </bottom>
    </border>
    <border>
      <left/>
      <right/>
      <top/>
      <bottom style="dashed">
        <color rgb="0077ABC3"/>
      </bottom>
    </border>
    <border>
      <left/>
      <right style="dashed">
        <color rgb="0077ABC3"/>
      </right>
      <top/>
      <bottom style="dashed">
        <color rgb="0077ABC3"/>
      </bottom>
    </border>
    <border>
      <left/>
      <right style="thin">
        <color rgb="008CB8CC"/>
      </right>
      <top style="thin">
        <color rgb="008CB8CC"/>
      </top>
      <bottom style="thin">
        <color rgb="008CB8CC"/>
      </bottom>
    </border>
    <border>
      <left/>
      <right/>
      <top style="thin">
        <color rgb="008CB8CC"/>
      </top>
      <bottom style="thin">
        <color rgb="008CB8CC"/>
      </bottom>
    </border>
    <border>
      <left style="thin">
        <color rgb="008CB8CC"/>
      </left>
      <right style="thin">
        <color rgb="008CB8CC"/>
      </right>
      <top/>
      <bottom style="thin">
        <color rgb="008CB8CC"/>
      </bottom>
    </border>
    <border>
      <left/>
      <right/>
      <top style="medium">
        <color rgb="0077ABC3"/>
      </top>
      <bottom style="medium">
        <color rgb="0077ABC3"/>
      </bottom>
    </border>
    <border>
      <left/>
      <right style="medium">
        <color rgb="0077ABC3"/>
      </right>
      <top style="medium">
        <color rgb="0077ABC3"/>
      </top>
      <bottom style="medium">
        <color rgb="0077ABC3"/>
      </bottom>
    </border>
    <border>
      <left style="thin">
        <color rgb="00C87E95"/>
      </left>
      <right style="thin">
        <color rgb="00C87E95"/>
      </right>
      <top style="thin">
        <color rgb="00C87E95"/>
      </top>
      <bottom style="thin">
        <color rgb="00C87E95"/>
      </bottom>
    </border>
    <border>
      <left style="medium">
        <color rgb="00BE6782"/>
      </left>
      <right style="medium">
        <color rgb="00BE6782"/>
      </right>
      <top style="medium">
        <color rgb="00BE6782"/>
      </top>
      <bottom style="medium">
        <color rgb="00BE6782"/>
      </bottom>
    </border>
    <border>
      <left/>
      <right/>
      <top style="medium">
        <color rgb="00BE6782"/>
      </top>
      <bottom/>
    </border>
    <border>
      <left/>
      <right style="medium">
        <color rgb="00BE6782"/>
      </right>
      <top style="medium">
        <color rgb="00BE6782"/>
      </top>
      <bottom/>
    </border>
    <border>
      <left style="dashed">
        <color rgb="00BE6782"/>
      </left>
      <right style="dashed">
        <color rgb="00BE6782"/>
      </right>
      <top style="dashed">
        <color rgb="00BE6782"/>
      </top>
      <bottom style="dashed">
        <color rgb="00BE6782"/>
      </bottom>
    </border>
    <border>
      <left/>
      <right/>
      <top style="dashed">
        <color rgb="00BE6782"/>
      </top>
      <bottom/>
    </border>
    <border>
      <left/>
      <right style="dashed">
        <color rgb="00BE6782"/>
      </right>
      <top style="dashed">
        <color rgb="00BE6782"/>
      </top>
      <bottom/>
    </border>
    <border>
      <left style="medium">
        <color rgb="00BE6782"/>
      </left>
      <right/>
      <top/>
      <bottom/>
    </border>
    <border>
      <left/>
      <right style="medium">
        <color rgb="00BE6782"/>
      </right>
      <top/>
      <bottom/>
    </border>
    <border>
      <left style="dashed">
        <color rgb="00BE6782"/>
      </left>
      <right/>
      <top/>
      <bottom/>
    </border>
    <border>
      <left/>
      <right style="dashed">
        <color rgb="00BE6782"/>
      </right>
      <top/>
      <bottom/>
    </border>
    <border>
      <left style="medium">
        <color rgb="00BE6782"/>
      </left>
      <right/>
      <top/>
      <bottom style="medium">
        <color rgb="00BE6782"/>
      </bottom>
    </border>
    <border>
      <left/>
      <right/>
      <top/>
      <bottom style="medium">
        <color rgb="00BE6782"/>
      </bottom>
    </border>
    <border>
      <left/>
      <right style="medium">
        <color rgb="00BE6782"/>
      </right>
      <top/>
      <bottom style="medium">
        <color rgb="00BE6782"/>
      </bottom>
    </border>
    <border>
      <left/>
      <right/>
      <top style="thin">
        <color rgb="00C87E95"/>
      </top>
      <bottom/>
    </border>
    <border>
      <left/>
      <right style="thin">
        <color rgb="00C87E95"/>
      </right>
      <top style="thin">
        <color rgb="00C87E95"/>
      </top>
      <bottom/>
    </border>
    <border>
      <left style="thin">
        <color rgb="00C87E95"/>
      </left>
      <right/>
      <top/>
      <bottom/>
    </border>
    <border>
      <left/>
      <right style="thin">
        <color rgb="00C87E95"/>
      </right>
      <top/>
      <bottom/>
    </border>
    <border>
      <left style="thin">
        <color rgb="00C87E95"/>
      </left>
      <right/>
      <top/>
      <bottom style="thin">
        <color rgb="00C87E95"/>
      </bottom>
    </border>
    <border>
      <left/>
      <right/>
      <top/>
      <bottom style="thin">
        <color rgb="00C87E95"/>
      </bottom>
    </border>
    <border>
      <left/>
      <right style="thin">
        <color rgb="00C87E95"/>
      </right>
      <top/>
      <bottom style="thin">
        <color rgb="00C87E95"/>
      </bottom>
    </border>
    <border>
      <left style="dashed">
        <color rgb="00BE6782"/>
      </left>
      <right/>
      <top/>
      <bottom style="dashed">
        <color rgb="00BE6782"/>
      </bottom>
    </border>
    <border>
      <left/>
      <right/>
      <top/>
      <bottom style="dashed">
        <color rgb="00BE6782"/>
      </bottom>
    </border>
    <border>
      <left/>
      <right style="dashed">
        <color rgb="00BE6782"/>
      </right>
      <top/>
      <bottom style="dashed">
        <color rgb="00BE6782"/>
      </bottom>
    </border>
    <border>
      <left/>
      <right style="thin">
        <color rgb="00C87E95"/>
      </right>
      <top style="thin">
        <color rgb="00C87E95"/>
      </top>
      <bottom style="thin">
        <color rgb="00C87E95"/>
      </bottom>
    </border>
    <border>
      <left/>
      <right/>
      <top style="thin">
        <color rgb="00C87E95"/>
      </top>
      <bottom style="thin">
        <color rgb="00C87E95"/>
      </bottom>
    </border>
    <border>
      <left style="thin">
        <color rgb="00C87E95"/>
      </left>
      <right style="thin">
        <color rgb="00C87E95"/>
      </right>
      <top/>
      <bottom style="thin">
        <color rgb="00C87E95"/>
      </bottom>
    </border>
    <border>
      <left/>
      <right/>
      <top style="medium">
        <color rgb="00BE6782"/>
      </top>
      <bottom style="medium">
        <color rgb="00BE6782"/>
      </bottom>
    </border>
    <border>
      <left/>
      <right style="medium">
        <color rgb="00BE6782"/>
      </right>
      <top style="medium">
        <color rgb="00BE6782"/>
      </top>
      <bottom style="medium">
        <color rgb="00BE6782"/>
      </bottom>
    </border>
    <border>
      <left style="thin">
        <color rgb="007E84A4"/>
      </left>
      <right style="thin">
        <color rgb="007E84A4"/>
      </right>
      <top style="thin">
        <color rgb="007E84A4"/>
      </top>
      <bottom style="thin">
        <color rgb="007E84A4"/>
      </bottom>
    </border>
    <border>
      <left style="medium">
        <color rgb="00666E93"/>
      </left>
      <right style="medium">
        <color rgb="00666E93"/>
      </right>
      <top style="medium">
        <color rgb="00666E93"/>
      </top>
      <bottom style="medium">
        <color rgb="00666E93"/>
      </bottom>
    </border>
    <border>
      <left/>
      <right/>
      <top style="medium">
        <color rgb="00666E93"/>
      </top>
      <bottom/>
    </border>
    <border>
      <left/>
      <right style="medium">
        <color rgb="00666E93"/>
      </right>
      <top style="medium">
        <color rgb="00666E93"/>
      </top>
      <bottom/>
    </border>
    <border>
      <left style="dashed">
        <color rgb="00666E93"/>
      </left>
      <right style="dashed">
        <color rgb="00666E93"/>
      </right>
      <top style="dashed">
        <color rgb="00666E93"/>
      </top>
      <bottom style="dashed">
        <color rgb="00666E93"/>
      </bottom>
    </border>
    <border>
      <left/>
      <right/>
      <top style="dashed">
        <color rgb="00666E93"/>
      </top>
      <bottom/>
    </border>
    <border>
      <left/>
      <right style="dashed">
        <color rgb="00666E93"/>
      </right>
      <top style="dashed">
        <color rgb="00666E93"/>
      </top>
      <bottom/>
    </border>
    <border>
      <left style="medium">
        <color rgb="00666E93"/>
      </left>
      <right/>
      <top/>
      <bottom/>
    </border>
    <border>
      <left/>
      <right style="medium">
        <color rgb="00666E93"/>
      </right>
      <top/>
      <bottom/>
    </border>
    <border>
      <left style="dashed">
        <color rgb="00666E93"/>
      </left>
      <right/>
      <top/>
      <bottom/>
    </border>
    <border>
      <left/>
      <right style="dashed">
        <color rgb="00666E93"/>
      </right>
      <top/>
      <bottom/>
    </border>
    <border>
      <left style="medium">
        <color rgb="00666E93"/>
      </left>
      <right/>
      <top/>
      <bottom style="medium">
        <color rgb="00666E93"/>
      </bottom>
    </border>
    <border>
      <left/>
      <right/>
      <top/>
      <bottom style="medium">
        <color rgb="00666E93"/>
      </bottom>
    </border>
    <border>
      <left/>
      <right style="medium">
        <color rgb="00666E93"/>
      </right>
      <top/>
      <bottom style="medium">
        <color rgb="00666E93"/>
      </bottom>
    </border>
    <border>
      <left/>
      <right/>
      <top style="thin">
        <color rgb="007E84A4"/>
      </top>
      <bottom/>
    </border>
    <border>
      <left/>
      <right style="thin">
        <color rgb="007E84A4"/>
      </right>
      <top style="thin">
        <color rgb="007E84A4"/>
      </top>
      <bottom/>
    </border>
    <border>
      <left style="thin">
        <color rgb="007E84A4"/>
      </left>
      <right/>
      <top/>
      <bottom/>
    </border>
    <border>
      <left/>
      <right style="thin">
        <color rgb="007E84A4"/>
      </right>
      <top/>
      <bottom/>
    </border>
    <border>
      <left style="thin">
        <color rgb="007E84A4"/>
      </left>
      <right/>
      <top/>
      <bottom style="thin">
        <color rgb="007E84A4"/>
      </bottom>
    </border>
    <border>
      <left/>
      <right/>
      <top/>
      <bottom style="thin">
        <color rgb="007E84A4"/>
      </bottom>
    </border>
    <border>
      <left/>
      <right style="thin">
        <color rgb="007E84A4"/>
      </right>
      <top/>
      <bottom style="thin">
        <color rgb="007E84A4"/>
      </bottom>
    </border>
    <border>
      <left style="dashed">
        <color rgb="00666E93"/>
      </left>
      <right/>
      <top/>
      <bottom style="dashed">
        <color rgb="00666E93"/>
      </bottom>
    </border>
    <border>
      <left/>
      <right/>
      <top/>
      <bottom style="dashed">
        <color rgb="00666E93"/>
      </bottom>
    </border>
    <border>
      <left/>
      <right style="dashed">
        <color rgb="00666E93"/>
      </right>
      <top/>
      <bottom style="dashed">
        <color rgb="00666E93"/>
      </bottom>
    </border>
    <border>
      <left/>
      <right style="thin">
        <color rgb="007E84A4"/>
      </right>
      <top style="thin">
        <color rgb="007E84A4"/>
      </top>
      <bottom style="thin">
        <color rgb="007E84A4"/>
      </bottom>
    </border>
    <border>
      <left/>
      <right/>
      <top style="thin">
        <color rgb="007E84A4"/>
      </top>
      <bottom style="thin">
        <color rgb="007E84A4"/>
      </bottom>
    </border>
    <border>
      <left style="thin">
        <color rgb="007E84A4"/>
      </left>
      <right style="thin">
        <color rgb="007E84A4"/>
      </right>
      <top/>
      <bottom style="thin">
        <color rgb="007E84A4"/>
      </bottom>
    </border>
    <border>
      <left/>
      <right/>
      <top style="medium">
        <color rgb="00666E93"/>
      </top>
      <bottom style="medium">
        <color rgb="00666E93"/>
      </bottom>
    </border>
    <border>
      <left/>
      <right style="medium">
        <color rgb="00666E93"/>
      </right>
      <top style="medium">
        <color rgb="00666E93"/>
      </top>
      <bottom style="medium">
        <color rgb="00666E93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1" fillId="3" borderId="1" applyAlignment="1" pivotButton="0" quotePrefix="0" xfId="0">
      <alignment horizontal="right" vertical="center" wrapText="1" readingOrder="2"/>
    </xf>
    <xf numFmtId="0" fontId="2" fillId="3" borderId="1" applyAlignment="1" pivotButton="0" quotePrefix="0" xfId="0">
      <alignment horizontal="center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0" fillId="4" borderId="2" pivotButton="0" quotePrefix="0" xfId="0"/>
    <xf numFmtId="0" fontId="4" fillId="5" borderId="10" applyAlignment="1" pivotButton="0" quotePrefix="0" xfId="0">
      <alignment horizontal="center" vertical="bottom" wrapText="1"/>
    </xf>
    <xf numFmtId="0" fontId="0" fillId="5" borderId="10" pivotButton="0" quotePrefix="0" xfId="0"/>
    <xf numFmtId="0" fontId="1" fillId="3" borderId="1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5" pivotButton="0" quotePrefix="0" xfId="0"/>
    <xf numFmtId="164" fontId="1" fillId="3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0" fillId="0" borderId="6" pivotButton="0" quotePrefix="0" xfId="0"/>
    <xf numFmtId="165" fontId="1" fillId="3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5" fillId="4" borderId="1" applyAlignment="1" pivotButton="0" quotePrefix="0" xfId="0">
      <alignment horizontal="center" vertical="center" wrapText="1" readingOrder="2"/>
    </xf>
    <xf numFmtId="0" fontId="1" fillId="4" borderId="1" applyAlignment="1" pivotButton="0" quotePrefix="0" xfId="0">
      <alignment horizontal="center" vertical="center" wrapText="1" readingOrder="2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 readingOrder="2"/>
    </xf>
    <xf numFmtId="0" fontId="6" fillId="6" borderId="1" applyAlignment="1" pivotButton="0" quotePrefix="0" xfId="0">
      <alignment horizontal="center" vertical="center" wrapText="1" readingOrder="2"/>
    </xf>
    <xf numFmtId="0" fontId="7" fillId="3" borderId="1" applyAlignment="1" pivotButton="0" quotePrefix="0" xfId="0">
      <alignment horizontal="center" vertical="center" wrapText="1" readingOrder="2"/>
    </xf>
    <xf numFmtId="3" fontId="8" fillId="3" borderId="1" applyAlignment="1" pivotButton="0" quotePrefix="0" xfId="0">
      <alignment horizontal="center" vertical="center" wrapText="1" readingOrder="2"/>
    </xf>
    <xf numFmtId="3" fontId="7" fillId="3" borderId="1" applyAlignment="1" pivotButton="0" quotePrefix="0" xfId="0">
      <alignment horizontal="center" vertical="center" wrapText="1" readingOrder="2"/>
    </xf>
    <xf numFmtId="3" fontId="9" fillId="3" borderId="1" applyAlignment="1" pivotButton="0" quotePrefix="0" xfId="0">
      <alignment horizontal="center" vertical="center" wrapText="1" readingOrder="2"/>
    </xf>
    <xf numFmtId="0" fontId="0" fillId="4" borderId="1" pivotButton="0" quotePrefix="0" xfId="0"/>
    <xf numFmtId="3" fontId="8" fillId="4" borderId="1" applyAlignment="1" pivotButton="0" quotePrefix="0" xfId="0">
      <alignment horizontal="center" vertical="center" wrapText="1" readingOrder="2"/>
    </xf>
    <xf numFmtId="3" fontId="9" fillId="4" borderId="1" applyAlignment="1" pivotButton="0" quotePrefix="0" xfId="0">
      <alignment horizontal="center" vertical="center" wrapText="1" readingOrder="2"/>
    </xf>
    <xf numFmtId="0" fontId="5" fillId="7" borderId="1" applyAlignment="1" pivotButton="0" quotePrefix="0" xfId="0">
      <alignment horizontal="center" vertical="center" wrapText="1" readingOrder="2"/>
    </xf>
    <xf numFmtId="0" fontId="0" fillId="7" borderId="1" pivotButton="0" quotePrefix="0" xfId="0"/>
    <xf numFmtId="3" fontId="5" fillId="7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166" fontId="1" fillId="3" borderId="1" applyAlignment="1" pivotButton="0" quotePrefix="0" xfId="0">
      <alignment horizontal="center" vertical="center" wrapText="1" readingOrder="2"/>
    </xf>
    <xf numFmtId="0" fontId="6" fillId="5" borderId="2" applyAlignment="1" pivotButton="0" quotePrefix="0" xfId="0">
      <alignment horizontal="center" vertical="center" wrapText="1" readingOrder="2"/>
    </xf>
    <xf numFmtId="0" fontId="6" fillId="5" borderId="2" pivotButton="0" quotePrefix="0" xfId="0"/>
    <xf numFmtId="167" fontId="1" fillId="3" borderId="1" applyAlignment="1" pivotButton="0" quotePrefix="0" xfId="0">
      <alignment horizontal="center" vertical="center" wrapText="1" readingOrder="2"/>
    </xf>
    <xf numFmtId="3" fontId="10" fillId="3" borderId="2" applyAlignment="1" pivotButton="0" quotePrefix="0" xfId="0">
      <alignment horizontal="center" vertical="center" wrapText="1" readingOrder="2"/>
    </xf>
    <xf numFmtId="0" fontId="0" fillId="3" borderId="2" pivotButton="0" quotePrefix="0" xfId="0"/>
    <xf numFmtId="3" fontId="11" fillId="3" borderId="2" applyAlignment="1" pivotButton="0" quotePrefix="0" xfId="0">
      <alignment horizontal="center" vertical="center" wrapText="1" readingOrder="2"/>
    </xf>
    <xf numFmtId="3" fontId="12" fillId="3" borderId="2" applyAlignment="1" pivotButton="0" quotePrefix="0" xfId="0">
      <alignment horizontal="center" vertical="center" wrapText="1" readingOrder="2"/>
    </xf>
    <xf numFmtId="0" fontId="13" fillId="8" borderId="1" applyAlignment="1" pivotButton="0" quotePrefix="0" xfId="0">
      <alignment horizontal="center" vertical="center" wrapText="1" readingOrder="2"/>
    </xf>
    <xf numFmtId="0" fontId="0" fillId="8" borderId="1" pivotButton="0" quotePrefix="0" xfId="0"/>
    <xf numFmtId="0" fontId="14" fillId="3" borderId="1" applyAlignment="1" pivotButton="0" quotePrefix="0" xfId="0">
      <alignment horizontal="right" vertical="center" wrapText="1" readingOrder="2"/>
    </xf>
    <xf numFmtId="0" fontId="5" fillId="2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0" fillId="9" borderId="31" pivotButton="0" quotePrefix="0" xfId="0"/>
    <xf numFmtId="0" fontId="0" fillId="3" borderId="32" pivotButton="0" quotePrefix="0" xfId="0"/>
    <xf numFmtId="0" fontId="16" fillId="3" borderId="32" applyAlignment="1" pivotButton="0" quotePrefix="0" xfId="0">
      <alignment horizontal="right" vertical="center" wrapText="1" readingOrder="2"/>
    </xf>
    <xf numFmtId="0" fontId="17" fillId="3" borderId="32" applyAlignment="1" pivotButton="0" quotePrefix="0" xfId="0">
      <alignment horizontal="center" vertical="center" wrapText="1" readingOrder="2"/>
    </xf>
    <xf numFmtId="0" fontId="18" fillId="10" borderId="33" applyAlignment="1" pivotButton="0" quotePrefix="0" xfId="0">
      <alignment horizontal="center" vertical="center" wrapText="1" readingOrder="2"/>
    </xf>
    <xf numFmtId="0" fontId="0" fillId="0" borderId="34" pivotButton="0" quotePrefix="0" xfId="0"/>
    <xf numFmtId="0" fontId="0" fillId="0" borderId="35" pivotButton="0" quotePrefix="0" xfId="0"/>
    <xf numFmtId="0" fontId="19" fillId="11" borderId="36" applyAlignment="1" pivotButton="0" quotePrefix="0" xfId="0">
      <alignment horizontal="center" vertical="bottom" wrapText="1"/>
    </xf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31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16" fillId="3" borderId="32" applyAlignment="1" pivotButton="0" quotePrefix="0" xfId="0">
      <alignment horizontal="center" vertical="center" wrapText="1" readingOrder="2"/>
    </xf>
    <xf numFmtId="0" fontId="0" fillId="0" borderId="46" pivotButton="0" quotePrefix="0" xfId="0"/>
    <xf numFmtId="0" fontId="0" fillId="0" borderId="47" pivotButton="0" quotePrefix="0" xfId="0"/>
    <xf numFmtId="164" fontId="16" fillId="3" borderId="32" applyAlignment="1" pivotButton="0" quotePrefix="0" xfId="0">
      <alignment horizontal="center" vertical="center" wrapText="1" readingOrder="2"/>
    </xf>
    <xf numFmtId="0" fontId="0" fillId="0" borderId="48" pivotButton="0" quotePrefix="0" xfId="0"/>
    <xf numFmtId="0" fontId="0" fillId="0" borderId="49" pivotButton="0" quotePrefix="0" xfId="0"/>
    <xf numFmtId="165" fontId="16" fillId="3" borderId="32" applyAlignment="1" pivotButton="0" quotePrefix="0" xfId="0">
      <alignment horizontal="center" vertical="center" wrapText="1" readingOrder="2"/>
    </xf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55" pivotButton="0" quotePrefix="0" xfId="0"/>
    <xf numFmtId="0" fontId="20" fillId="10" borderId="32" applyAlignment="1" pivotButton="0" quotePrefix="0" xfId="0">
      <alignment horizontal="center" vertical="center" wrapText="1" readingOrder="2"/>
    </xf>
    <xf numFmtId="0" fontId="16" fillId="10" borderId="32" applyAlignment="1" pivotButton="0" quotePrefix="0" xfId="0">
      <alignment horizontal="center" vertical="center" wrapText="1" readingOrder="2"/>
    </xf>
    <xf numFmtId="0" fontId="0" fillId="0" borderId="56" pivotButton="0" quotePrefix="0" xfId="0"/>
    <xf numFmtId="0" fontId="21" fillId="10" borderId="32" applyAlignment="1" pivotButton="0" quotePrefix="0" xfId="0">
      <alignment horizontal="center" vertical="center" wrapText="1" readingOrder="2"/>
    </xf>
    <xf numFmtId="0" fontId="0" fillId="0" borderId="57" pivotButton="0" quotePrefix="0" xfId="0"/>
    <xf numFmtId="0" fontId="0" fillId="0" borderId="58" pivotButton="0" quotePrefix="0" xfId="0"/>
    <xf numFmtId="0" fontId="21" fillId="12" borderId="32" applyAlignment="1" pivotButton="0" quotePrefix="0" xfId="0">
      <alignment horizontal="center" vertical="center" wrapText="1" readingOrder="2"/>
    </xf>
    <xf numFmtId="0" fontId="7" fillId="3" borderId="32" applyAlignment="1" pivotButton="0" quotePrefix="0" xfId="0">
      <alignment horizontal="center" vertical="center" wrapText="1" readingOrder="2"/>
    </xf>
    <xf numFmtId="3" fontId="8" fillId="3" borderId="32" applyAlignment="1" pivotButton="0" quotePrefix="0" xfId="0">
      <alignment horizontal="center" vertical="center" wrapText="1" readingOrder="2"/>
    </xf>
    <xf numFmtId="3" fontId="7" fillId="3" borderId="32" applyAlignment="1" pivotButton="0" quotePrefix="0" xfId="0">
      <alignment horizontal="center" vertical="center" wrapText="1" readingOrder="2"/>
    </xf>
    <xf numFmtId="3" fontId="9" fillId="3" borderId="32" applyAlignment="1" pivotButton="0" quotePrefix="0" xfId="0">
      <alignment horizontal="center" vertical="center" wrapText="1" readingOrder="2"/>
    </xf>
    <xf numFmtId="3" fontId="8" fillId="10" borderId="32" applyAlignment="1" pivotButton="0" quotePrefix="0" xfId="0">
      <alignment horizontal="center" vertical="center" wrapText="1" readingOrder="2"/>
    </xf>
    <xf numFmtId="3" fontId="9" fillId="10" borderId="32" applyAlignment="1" pivotButton="0" quotePrefix="0" xfId="0">
      <alignment horizontal="center" vertical="center" wrapText="1" readingOrder="2"/>
    </xf>
    <xf numFmtId="0" fontId="0" fillId="10" borderId="32" pivotButton="0" quotePrefix="0" xfId="0"/>
    <xf numFmtId="0" fontId="20" fillId="13" borderId="32" applyAlignment="1" pivotButton="0" quotePrefix="0" xfId="0">
      <alignment horizontal="center" vertical="center" wrapText="1" readingOrder="2"/>
    </xf>
    <xf numFmtId="3" fontId="20" fillId="13" borderId="32" applyAlignment="1" pivotButton="0" quotePrefix="0" xfId="0">
      <alignment horizontal="center" vertical="center" wrapText="1" readingOrder="2"/>
    </xf>
    <xf numFmtId="0" fontId="0" fillId="13" borderId="32" pivotButton="0" quotePrefix="0" xfId="0"/>
    <xf numFmtId="0" fontId="21" fillId="10" borderId="32" applyAlignment="1" pivotButton="0" quotePrefix="0" xfId="0">
      <alignment horizontal="right" vertical="center" wrapText="1" readingOrder="2"/>
    </xf>
    <xf numFmtId="166" fontId="16" fillId="3" borderId="32" applyAlignment="1" pivotButton="0" quotePrefix="0" xfId="0">
      <alignment horizontal="center" vertical="center" wrapText="1" readingOrder="2"/>
    </xf>
    <xf numFmtId="0" fontId="21" fillId="11" borderId="33" applyAlignment="1" pivotButton="0" quotePrefix="0" xfId="0">
      <alignment horizontal="center" vertical="center" wrapText="1" readingOrder="2"/>
    </xf>
    <xf numFmtId="0" fontId="0" fillId="0" borderId="59" pivotButton="0" quotePrefix="0" xfId="0"/>
    <xf numFmtId="0" fontId="0" fillId="0" borderId="60" pivotButton="0" quotePrefix="0" xfId="0"/>
    <xf numFmtId="167" fontId="16" fillId="3" borderId="32" applyAlignment="1" pivotButton="0" quotePrefix="0" xfId="0">
      <alignment horizontal="center" vertical="center" wrapText="1" readingOrder="2"/>
    </xf>
    <xf numFmtId="3" fontId="22" fillId="3" borderId="33" applyAlignment="1" pivotButton="0" quotePrefix="0" xfId="0">
      <alignment horizontal="center" vertical="center" wrapText="1" readingOrder="2"/>
    </xf>
    <xf numFmtId="3" fontId="11" fillId="3" borderId="33" applyAlignment="1" pivotButton="0" quotePrefix="0" xfId="0">
      <alignment horizontal="center" vertical="center" wrapText="1" readingOrder="2"/>
    </xf>
    <xf numFmtId="3" fontId="12" fillId="3" borderId="33" applyAlignment="1" pivotButton="0" quotePrefix="0" xfId="0">
      <alignment horizontal="center" vertical="center" wrapText="1" readingOrder="2"/>
    </xf>
    <xf numFmtId="0" fontId="13" fillId="14" borderId="32" applyAlignment="1" pivotButton="0" quotePrefix="0" xfId="0">
      <alignment horizontal="center" vertical="center" wrapText="1" readingOrder="2"/>
    </xf>
    <xf numFmtId="0" fontId="14" fillId="3" borderId="32" applyAlignment="1" pivotButton="0" quotePrefix="0" xfId="0">
      <alignment horizontal="right" vertical="center" wrapText="1" readingOrder="2"/>
    </xf>
    <xf numFmtId="0" fontId="20" fillId="9" borderId="31" applyAlignment="1" pivotButton="0" quotePrefix="0" xfId="0">
      <alignment horizontal="center" vertical="center" wrapText="1" readingOrder="2"/>
    </xf>
    <xf numFmtId="0" fontId="15" fillId="9" borderId="31" applyAlignment="1" pivotButton="0" quotePrefix="0" xfId="0">
      <alignment horizontal="center" vertical="center" wrapText="1" readingOrder="2"/>
    </xf>
    <xf numFmtId="0" fontId="0" fillId="15" borderId="31" pivotButton="0" quotePrefix="0" xfId="0"/>
    <xf numFmtId="0" fontId="0" fillId="3" borderId="61" pivotButton="0" quotePrefix="0" xfId="0"/>
    <xf numFmtId="0" fontId="23" fillId="3" borderId="61" applyAlignment="1" pivotButton="0" quotePrefix="0" xfId="0">
      <alignment horizontal="right" vertical="center" wrapText="1" readingOrder="2"/>
    </xf>
    <xf numFmtId="0" fontId="24" fillId="3" borderId="61" applyAlignment="1" pivotButton="0" quotePrefix="0" xfId="0">
      <alignment horizontal="center" vertical="center" wrapText="1" readingOrder="2"/>
    </xf>
    <xf numFmtId="0" fontId="25" fillId="16" borderId="62" applyAlignment="1" pivotButton="0" quotePrefix="0" xfId="0">
      <alignment horizontal="center" vertical="center" wrapText="1" readingOrder="2"/>
    </xf>
    <xf numFmtId="0" fontId="0" fillId="0" borderId="63" pivotButton="0" quotePrefix="0" xfId="0"/>
    <xf numFmtId="0" fontId="0" fillId="0" borderId="64" pivotButton="0" quotePrefix="0" xfId="0"/>
    <xf numFmtId="0" fontId="26" fillId="17" borderId="65" applyAlignment="1" pivotButton="0" quotePrefix="0" xfId="0">
      <alignment horizontal="center" vertical="bottom" wrapText="1"/>
    </xf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23" fillId="3" borderId="61" applyAlignment="1" pivotButton="0" quotePrefix="0" xfId="0">
      <alignment horizontal="center" vertical="center" wrapText="1" readingOrder="2"/>
    </xf>
    <xf numFmtId="0" fontId="0" fillId="0" borderId="75" pivotButton="0" quotePrefix="0" xfId="0"/>
    <xf numFmtId="0" fontId="0" fillId="0" borderId="76" pivotButton="0" quotePrefix="0" xfId="0"/>
    <xf numFmtId="164" fontId="23" fillId="3" borderId="61" applyAlignment="1" pivotButton="0" quotePrefix="0" xfId="0">
      <alignment horizontal="center" vertical="center" wrapText="1" readingOrder="2"/>
    </xf>
    <xf numFmtId="0" fontId="0" fillId="0" borderId="77" pivotButton="0" quotePrefix="0" xfId="0"/>
    <xf numFmtId="0" fontId="0" fillId="0" borderId="78" pivotButton="0" quotePrefix="0" xfId="0"/>
    <xf numFmtId="165" fontId="23" fillId="3" borderId="61" applyAlignment="1" pivotButton="0" quotePrefix="0" xfId="0">
      <alignment horizontal="center" vertical="center" wrapText="1" readingOrder="2"/>
    </xf>
    <xf numFmtId="0" fontId="0" fillId="0" borderId="79" pivotButton="0" quotePrefix="0" xfId="0"/>
    <xf numFmtId="0" fontId="0" fillId="0" borderId="80" pivotButton="0" quotePrefix="0" xfId="0"/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0" fillId="0" borderId="84" pivotButton="0" quotePrefix="0" xfId="0"/>
    <xf numFmtId="0" fontId="27" fillId="16" borderId="61" applyAlignment="1" pivotButton="0" quotePrefix="0" xfId="0">
      <alignment horizontal="center" vertical="center" wrapText="1" readingOrder="2"/>
    </xf>
    <xf numFmtId="0" fontId="23" fillId="16" borderId="61" applyAlignment="1" pivotButton="0" quotePrefix="0" xfId="0">
      <alignment horizontal="center" vertical="center" wrapText="1" readingOrder="2"/>
    </xf>
    <xf numFmtId="0" fontId="0" fillId="0" borderId="85" pivotButton="0" quotePrefix="0" xfId="0"/>
    <xf numFmtId="0" fontId="28" fillId="16" borderId="61" applyAlignment="1" pivotButton="0" quotePrefix="0" xfId="0">
      <alignment horizontal="center" vertical="center" wrapText="1" readingOrder="2"/>
    </xf>
    <xf numFmtId="0" fontId="0" fillId="0" borderId="86" pivotButton="0" quotePrefix="0" xfId="0"/>
    <xf numFmtId="0" fontId="0" fillId="0" borderId="87" pivotButton="0" quotePrefix="0" xfId="0"/>
    <xf numFmtId="0" fontId="28" fillId="18" borderId="61" applyAlignment="1" pivotButton="0" quotePrefix="0" xfId="0">
      <alignment horizontal="center" vertical="center" wrapText="1" readingOrder="2"/>
    </xf>
    <xf numFmtId="0" fontId="7" fillId="3" borderId="61" applyAlignment="1" pivotButton="0" quotePrefix="0" xfId="0">
      <alignment horizontal="center" vertical="center" wrapText="1" readingOrder="2"/>
    </xf>
    <xf numFmtId="3" fontId="7" fillId="3" borderId="61" applyAlignment="1" pivotButton="0" quotePrefix="0" xfId="0">
      <alignment horizontal="center" vertical="center" wrapText="1" readingOrder="2"/>
    </xf>
    <xf numFmtId="3" fontId="8" fillId="16" borderId="61" applyAlignment="1" pivotButton="0" quotePrefix="0" xfId="0">
      <alignment horizontal="center" vertical="center" wrapText="1" readingOrder="2"/>
    </xf>
    <xf numFmtId="3" fontId="9" fillId="16" borderId="61" applyAlignment="1" pivotButton="0" quotePrefix="0" xfId="0">
      <alignment horizontal="center" vertical="center" wrapText="1" readingOrder="2"/>
    </xf>
    <xf numFmtId="0" fontId="0" fillId="16" borderId="61" pivotButton="0" quotePrefix="0" xfId="0"/>
    <xf numFmtId="0" fontId="27" fillId="19" borderId="61" applyAlignment="1" pivotButton="0" quotePrefix="0" xfId="0">
      <alignment horizontal="center" vertical="center" wrapText="1" readingOrder="2"/>
    </xf>
    <xf numFmtId="3" fontId="27" fillId="19" borderId="61" applyAlignment="1" pivotButton="0" quotePrefix="0" xfId="0">
      <alignment horizontal="center" vertical="center" wrapText="1" readingOrder="2"/>
    </xf>
    <xf numFmtId="0" fontId="0" fillId="19" borderId="61" pivotButton="0" quotePrefix="0" xfId="0"/>
    <xf numFmtId="0" fontId="28" fillId="16" borderId="61" applyAlignment="1" pivotButton="0" quotePrefix="0" xfId="0">
      <alignment horizontal="right" vertical="center" wrapText="1" readingOrder="2"/>
    </xf>
    <xf numFmtId="166" fontId="23" fillId="3" borderId="61" applyAlignment="1" pivotButton="0" quotePrefix="0" xfId="0">
      <alignment horizontal="center" vertical="center" wrapText="1" readingOrder="2"/>
    </xf>
    <xf numFmtId="0" fontId="28" fillId="17" borderId="62" applyAlignment="1" pivotButton="0" quotePrefix="0" xfId="0">
      <alignment horizontal="center" vertical="center" wrapText="1" readingOrder="2"/>
    </xf>
    <xf numFmtId="0" fontId="0" fillId="0" borderId="88" pivotButton="0" quotePrefix="0" xfId="0"/>
    <xf numFmtId="0" fontId="0" fillId="0" borderId="89" pivotButton="0" quotePrefix="0" xfId="0"/>
    <xf numFmtId="167" fontId="23" fillId="3" borderId="61" applyAlignment="1" pivotButton="0" quotePrefix="0" xfId="0">
      <alignment horizontal="center" vertical="center" wrapText="1" readingOrder="2"/>
    </xf>
    <xf numFmtId="3" fontId="29" fillId="3" borderId="62" applyAlignment="1" pivotButton="0" quotePrefix="0" xfId="0">
      <alignment horizontal="center" vertical="center" wrapText="1" readingOrder="2"/>
    </xf>
    <xf numFmtId="3" fontId="11" fillId="3" borderId="62" applyAlignment="1" pivotButton="0" quotePrefix="0" xfId="0">
      <alignment horizontal="center" vertical="center" wrapText="1" readingOrder="2"/>
    </xf>
    <xf numFmtId="3" fontId="12" fillId="3" borderId="62" applyAlignment="1" pivotButton="0" quotePrefix="0" xfId="0">
      <alignment horizontal="center" vertical="center" wrapText="1" readingOrder="2"/>
    </xf>
    <xf numFmtId="0" fontId="13" fillId="20" borderId="61" applyAlignment="1" pivotButton="0" quotePrefix="0" xfId="0">
      <alignment horizontal="center" vertical="center" wrapText="1" readingOrder="2"/>
    </xf>
    <xf numFmtId="0" fontId="14" fillId="3" borderId="61" applyAlignment="1" pivotButton="0" quotePrefix="0" xfId="0">
      <alignment horizontal="right" vertical="center" wrapText="1" readingOrder="2"/>
    </xf>
    <xf numFmtId="3" fontId="8" fillId="3" borderId="61" applyAlignment="1" pivotButton="0" quotePrefix="0" xfId="0">
      <alignment horizontal="center" vertical="center" wrapText="1" readingOrder="2"/>
    </xf>
    <xf numFmtId="3" fontId="9" fillId="3" borderId="61" applyAlignment="1" pivotButton="0" quotePrefix="0" xfId="0">
      <alignment horizontal="center" vertical="center" wrapText="1" readingOrder="2"/>
    </xf>
    <xf numFmtId="0" fontId="27" fillId="15" borderId="31" applyAlignment="1" pivotButton="0" quotePrefix="0" xfId="0">
      <alignment horizontal="center" vertical="center" wrapText="1" readingOrder="2"/>
    </xf>
    <xf numFmtId="0" fontId="15" fillId="15" borderId="31" applyAlignment="1" pivotButton="0" quotePrefix="0" xfId="0">
      <alignment horizontal="center" vertical="center" wrapText="1" readingOrder="2"/>
    </xf>
    <xf numFmtId="0" fontId="0" fillId="21" borderId="31" pivotButton="0" quotePrefix="0" xfId="0"/>
    <xf numFmtId="0" fontId="0" fillId="3" borderId="90" pivotButton="0" quotePrefix="0" xfId="0"/>
    <xf numFmtId="0" fontId="30" fillId="3" borderId="90" applyAlignment="1" pivotButton="0" quotePrefix="0" xfId="0">
      <alignment horizontal="right" vertical="center" wrapText="1" readingOrder="2"/>
    </xf>
    <xf numFmtId="0" fontId="31" fillId="3" borderId="90" applyAlignment="1" pivotButton="0" quotePrefix="0" xfId="0">
      <alignment horizontal="center" vertical="center" wrapText="1" readingOrder="2"/>
    </xf>
    <xf numFmtId="0" fontId="32" fillId="22" borderId="91" applyAlignment="1" pivotButton="0" quotePrefix="0" xfId="0">
      <alignment horizontal="center" vertical="center" wrapText="1" readingOrder="2"/>
    </xf>
    <xf numFmtId="0" fontId="0" fillId="0" borderId="92" pivotButton="0" quotePrefix="0" xfId="0"/>
    <xf numFmtId="0" fontId="0" fillId="0" borderId="93" pivotButton="0" quotePrefix="0" xfId="0"/>
    <xf numFmtId="0" fontId="33" fillId="23" borderId="94" applyAlignment="1" pivotButton="0" quotePrefix="0" xfId="0">
      <alignment horizontal="center" vertical="bottom" wrapText="1"/>
    </xf>
    <xf numFmtId="0" fontId="0" fillId="0" borderId="95" pivotButton="0" quotePrefix="0" xfId="0"/>
    <xf numFmtId="0" fontId="0" fillId="0" borderId="96" pivotButton="0" quotePrefix="0" xfId="0"/>
    <xf numFmtId="0" fontId="0" fillId="0" borderId="97" pivotButton="0" quotePrefix="0" xfId="0"/>
    <xf numFmtId="0" fontId="0" fillId="0" borderId="98" pivotButton="0" quotePrefix="0" xfId="0"/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0" fillId="0" borderId="102" pivotButton="0" quotePrefix="0" xfId="0"/>
    <xf numFmtId="0" fontId="0" fillId="0" borderId="103" pivotButton="0" quotePrefix="0" xfId="0"/>
    <xf numFmtId="0" fontId="30" fillId="3" borderId="90" applyAlignment="1" pivotButton="0" quotePrefix="0" xfId="0">
      <alignment horizontal="center" vertical="center" wrapText="1" readingOrder="2"/>
    </xf>
    <xf numFmtId="0" fontId="0" fillId="0" borderId="104" pivotButton="0" quotePrefix="0" xfId="0"/>
    <xf numFmtId="0" fontId="0" fillId="0" borderId="105" pivotButton="0" quotePrefix="0" xfId="0"/>
    <xf numFmtId="164" fontId="30" fillId="3" borderId="90" applyAlignment="1" pivotButton="0" quotePrefix="0" xfId="0">
      <alignment horizontal="center" vertical="center" wrapText="1" readingOrder="2"/>
    </xf>
    <xf numFmtId="0" fontId="0" fillId="0" borderId="106" pivotButton="0" quotePrefix="0" xfId="0"/>
    <xf numFmtId="0" fontId="0" fillId="0" borderId="107" pivotButton="0" quotePrefix="0" xfId="0"/>
    <xf numFmtId="165" fontId="30" fillId="3" borderId="90" applyAlignment="1" pivotButton="0" quotePrefix="0" xfId="0">
      <alignment horizontal="center" vertical="center" wrapText="1" readingOrder="2"/>
    </xf>
    <xf numFmtId="0" fontId="0" fillId="0" borderId="108" pivotButton="0" quotePrefix="0" xfId="0"/>
    <xf numFmtId="0" fontId="0" fillId="0" borderId="109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0" borderId="113" pivotButton="0" quotePrefix="0" xfId="0"/>
    <xf numFmtId="0" fontId="34" fillId="22" borderId="90" applyAlignment="1" pivotButton="0" quotePrefix="0" xfId="0">
      <alignment horizontal="center" vertical="center" wrapText="1" readingOrder="2"/>
    </xf>
    <xf numFmtId="0" fontId="30" fillId="22" borderId="90" applyAlignment="1" pivotButton="0" quotePrefix="0" xfId="0">
      <alignment horizontal="center" vertical="center" wrapText="1" readingOrder="2"/>
    </xf>
    <xf numFmtId="0" fontId="0" fillId="0" borderId="114" pivotButton="0" quotePrefix="0" xfId="0"/>
    <xf numFmtId="0" fontId="35" fillId="22" borderId="90" applyAlignment="1" pivotButton="0" quotePrefix="0" xfId="0">
      <alignment horizontal="center" vertical="center" wrapText="1" readingOrder="2"/>
    </xf>
    <xf numFmtId="0" fontId="0" fillId="0" borderId="115" pivotButton="0" quotePrefix="0" xfId="0"/>
    <xf numFmtId="0" fontId="0" fillId="0" borderId="116" pivotButton="0" quotePrefix="0" xfId="0"/>
    <xf numFmtId="0" fontId="35" fillId="24" borderId="90" applyAlignment="1" pivotButton="0" quotePrefix="0" xfId="0">
      <alignment horizontal="center" vertical="center" wrapText="1" readingOrder="2"/>
    </xf>
    <xf numFmtId="0" fontId="7" fillId="3" borderId="90" applyAlignment="1" pivotButton="0" quotePrefix="0" xfId="0">
      <alignment horizontal="center" vertical="center" wrapText="1" readingOrder="2"/>
    </xf>
    <xf numFmtId="3" fontId="7" fillId="3" borderId="90" applyAlignment="1" pivotButton="0" quotePrefix="0" xfId="0">
      <alignment horizontal="center" vertical="center" wrapText="1" readingOrder="2"/>
    </xf>
    <xf numFmtId="3" fontId="8" fillId="22" borderId="90" applyAlignment="1" pivotButton="0" quotePrefix="0" xfId="0">
      <alignment horizontal="center" vertical="center" wrapText="1" readingOrder="2"/>
    </xf>
    <xf numFmtId="3" fontId="9" fillId="22" borderId="90" applyAlignment="1" pivotButton="0" quotePrefix="0" xfId="0">
      <alignment horizontal="center" vertical="center" wrapText="1" readingOrder="2"/>
    </xf>
    <xf numFmtId="0" fontId="0" fillId="22" borderId="90" pivotButton="0" quotePrefix="0" xfId="0"/>
    <xf numFmtId="0" fontId="34" fillId="25" borderId="90" applyAlignment="1" pivotButton="0" quotePrefix="0" xfId="0">
      <alignment horizontal="center" vertical="center" wrapText="1" readingOrder="2"/>
    </xf>
    <xf numFmtId="3" fontId="34" fillId="25" borderId="90" applyAlignment="1" pivotButton="0" quotePrefix="0" xfId="0">
      <alignment horizontal="center" vertical="center" wrapText="1" readingOrder="2"/>
    </xf>
    <xf numFmtId="0" fontId="0" fillId="25" borderId="90" pivotButton="0" quotePrefix="0" xfId="0"/>
    <xf numFmtId="0" fontId="35" fillId="22" borderId="90" applyAlignment="1" pivotButton="0" quotePrefix="0" xfId="0">
      <alignment horizontal="right" vertical="center" wrapText="1" readingOrder="2"/>
    </xf>
    <xf numFmtId="166" fontId="30" fillId="3" borderId="90" applyAlignment="1" pivotButton="0" quotePrefix="0" xfId="0">
      <alignment horizontal="center" vertical="center" wrapText="1" readingOrder="2"/>
    </xf>
    <xf numFmtId="0" fontId="35" fillId="23" borderId="91" applyAlignment="1" pivotButton="0" quotePrefix="0" xfId="0">
      <alignment horizontal="center" vertical="center" wrapText="1" readingOrder="2"/>
    </xf>
    <xf numFmtId="0" fontId="0" fillId="0" borderId="117" pivotButton="0" quotePrefix="0" xfId="0"/>
    <xf numFmtId="0" fontId="0" fillId="0" borderId="118" pivotButton="0" quotePrefix="0" xfId="0"/>
    <xf numFmtId="167" fontId="30" fillId="3" borderId="90" applyAlignment="1" pivotButton="0" quotePrefix="0" xfId="0">
      <alignment horizontal="center" vertical="center" wrapText="1" readingOrder="2"/>
    </xf>
    <xf numFmtId="3" fontId="36" fillId="3" borderId="91" applyAlignment="1" pivotButton="0" quotePrefix="0" xfId="0">
      <alignment horizontal="center" vertical="center" wrapText="1" readingOrder="2"/>
    </xf>
    <xf numFmtId="3" fontId="11" fillId="3" borderId="91" applyAlignment="1" pivotButton="0" quotePrefix="0" xfId="0">
      <alignment horizontal="center" vertical="center" wrapText="1" readingOrder="2"/>
    </xf>
    <xf numFmtId="3" fontId="12" fillId="3" borderId="91" applyAlignment="1" pivotButton="0" quotePrefix="0" xfId="0">
      <alignment horizontal="center" vertical="center" wrapText="1" readingOrder="2"/>
    </xf>
    <xf numFmtId="0" fontId="13" fillId="26" borderId="90" applyAlignment="1" pivotButton="0" quotePrefix="0" xfId="0">
      <alignment horizontal="center" vertical="center" wrapText="1" readingOrder="2"/>
    </xf>
    <xf numFmtId="0" fontId="14" fillId="3" borderId="90" applyAlignment="1" pivotButton="0" quotePrefix="0" xfId="0">
      <alignment horizontal="right" vertical="center" wrapText="1" readingOrder="2"/>
    </xf>
    <xf numFmtId="3" fontId="8" fillId="3" borderId="90" applyAlignment="1" pivotButton="0" quotePrefix="0" xfId="0">
      <alignment horizontal="center" vertical="center" wrapText="1" readingOrder="2"/>
    </xf>
    <xf numFmtId="3" fontId="9" fillId="3" borderId="90" applyAlignment="1" pivotButton="0" quotePrefix="0" xfId="0">
      <alignment horizontal="center" vertical="center" wrapText="1" readingOrder="2"/>
    </xf>
    <xf numFmtId="0" fontId="34" fillId="21" borderId="31" applyAlignment="1" pivotButton="0" quotePrefix="0" xfId="0">
      <alignment horizontal="center" vertical="center" wrapText="1" readingOrder="2"/>
    </xf>
    <xf numFmtId="0" fontId="15" fillId="21" borderId="31" applyAlignment="1" pivotButton="0" quotePrefix="0" xfId="0">
      <alignment horizontal="center" vertical="center" wrapText="1" readingOrder="2"/>
    </xf>
    <xf numFmtId="0" fontId="0" fillId="27" borderId="31" pivotButton="0" quotePrefix="0" xfId="0"/>
    <xf numFmtId="0" fontId="0" fillId="3" borderId="119" pivotButton="0" quotePrefix="0" xfId="0"/>
    <xf numFmtId="0" fontId="37" fillId="3" borderId="119" applyAlignment="1" pivotButton="0" quotePrefix="0" xfId="0">
      <alignment horizontal="right" vertical="center" wrapText="1" readingOrder="2"/>
    </xf>
    <xf numFmtId="0" fontId="38" fillId="3" borderId="119" applyAlignment="1" pivotButton="0" quotePrefix="0" xfId="0">
      <alignment horizontal="center" vertical="center" wrapText="1" readingOrder="2"/>
    </xf>
    <xf numFmtId="0" fontId="39" fillId="28" borderId="120" applyAlignment="1" pivotButton="0" quotePrefix="0" xfId="0">
      <alignment horizontal="center" vertical="center" wrapText="1" readingOrder="2"/>
    </xf>
    <xf numFmtId="0" fontId="0" fillId="0" borderId="121" pivotButton="0" quotePrefix="0" xfId="0"/>
    <xf numFmtId="0" fontId="0" fillId="0" borderId="122" pivotButton="0" quotePrefix="0" xfId="0"/>
    <xf numFmtId="0" fontId="40" fillId="29" borderId="123" applyAlignment="1" pivotButton="0" quotePrefix="0" xfId="0">
      <alignment horizontal="center" vertical="bottom" wrapText="1"/>
    </xf>
    <xf numFmtId="0" fontId="0" fillId="0" borderId="124" pivotButton="0" quotePrefix="0" xfId="0"/>
    <xf numFmtId="0" fontId="0" fillId="0" borderId="125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0" pivotButton="0" quotePrefix="0" xfId="0"/>
    <xf numFmtId="0" fontId="0" fillId="0" borderId="131" pivotButton="0" quotePrefix="0" xfId="0"/>
    <xf numFmtId="0" fontId="0" fillId="0" borderId="132" pivotButton="0" quotePrefix="0" xfId="0"/>
    <xf numFmtId="0" fontId="37" fillId="3" borderId="119" applyAlignment="1" pivotButton="0" quotePrefix="0" xfId="0">
      <alignment horizontal="center" vertical="center" wrapText="1" readingOrder="2"/>
    </xf>
    <xf numFmtId="0" fontId="0" fillId="0" borderId="133" pivotButton="0" quotePrefix="0" xfId="0"/>
    <xf numFmtId="0" fontId="0" fillId="0" borderId="134" pivotButton="0" quotePrefix="0" xfId="0"/>
    <xf numFmtId="164" fontId="37" fillId="3" borderId="119" applyAlignment="1" pivotButton="0" quotePrefix="0" xfId="0">
      <alignment horizontal="center" vertical="center" wrapText="1" readingOrder="2"/>
    </xf>
    <xf numFmtId="0" fontId="0" fillId="0" borderId="135" pivotButton="0" quotePrefix="0" xfId="0"/>
    <xf numFmtId="0" fontId="0" fillId="0" borderId="136" pivotButton="0" quotePrefix="0" xfId="0"/>
    <xf numFmtId="165" fontId="37" fillId="3" borderId="119" applyAlignment="1" pivotButton="0" quotePrefix="0" xfId="0">
      <alignment horizontal="center" vertical="center" wrapText="1" readingOrder="2"/>
    </xf>
    <xf numFmtId="0" fontId="0" fillId="0" borderId="137" pivotButton="0" quotePrefix="0" xfId="0"/>
    <xf numFmtId="0" fontId="0" fillId="0" borderId="138" pivotButton="0" quotePrefix="0" xfId="0"/>
    <xf numFmtId="0" fontId="0" fillId="0" borderId="139" pivotButton="0" quotePrefix="0" xfId="0"/>
    <xf numFmtId="0" fontId="0" fillId="0" borderId="140" pivotButton="0" quotePrefix="0" xfId="0"/>
    <xf numFmtId="0" fontId="0" fillId="0" borderId="141" pivotButton="0" quotePrefix="0" xfId="0"/>
    <xf numFmtId="0" fontId="0" fillId="0" borderId="142" pivotButton="0" quotePrefix="0" xfId="0"/>
    <xf numFmtId="0" fontId="41" fillId="28" borderId="119" applyAlignment="1" pivotButton="0" quotePrefix="0" xfId="0">
      <alignment horizontal="center" vertical="center" wrapText="1" readingOrder="2"/>
    </xf>
    <xf numFmtId="0" fontId="37" fillId="28" borderId="119" applyAlignment="1" pivotButton="0" quotePrefix="0" xfId="0">
      <alignment horizontal="center" vertical="center" wrapText="1" readingOrder="2"/>
    </xf>
    <xf numFmtId="0" fontId="0" fillId="0" borderId="143" pivotButton="0" quotePrefix="0" xfId="0"/>
    <xf numFmtId="0" fontId="42" fillId="28" borderId="119" applyAlignment="1" pivotButton="0" quotePrefix="0" xfId="0">
      <alignment horizontal="center" vertical="center" wrapText="1" readingOrder="2"/>
    </xf>
    <xf numFmtId="0" fontId="0" fillId="0" borderId="144" pivotButton="0" quotePrefix="0" xfId="0"/>
    <xf numFmtId="0" fontId="0" fillId="0" borderId="145" pivotButton="0" quotePrefix="0" xfId="0"/>
    <xf numFmtId="0" fontId="42" fillId="30" borderId="119" applyAlignment="1" pivotButton="0" quotePrefix="0" xfId="0">
      <alignment horizontal="center" vertical="center" wrapText="1" readingOrder="2"/>
    </xf>
    <xf numFmtId="0" fontId="7" fillId="3" borderId="119" applyAlignment="1" pivotButton="0" quotePrefix="0" xfId="0">
      <alignment horizontal="center" vertical="center" wrapText="1" readingOrder="2"/>
    </xf>
    <xf numFmtId="3" fontId="7" fillId="3" borderId="119" applyAlignment="1" pivotButton="0" quotePrefix="0" xfId="0">
      <alignment horizontal="center" vertical="center" wrapText="1" readingOrder="2"/>
    </xf>
    <xf numFmtId="3" fontId="8" fillId="28" borderId="119" applyAlignment="1" pivotButton="0" quotePrefix="0" xfId="0">
      <alignment horizontal="center" vertical="center" wrapText="1" readingOrder="2"/>
    </xf>
    <xf numFmtId="3" fontId="9" fillId="28" borderId="119" applyAlignment="1" pivotButton="0" quotePrefix="0" xfId="0">
      <alignment horizontal="center" vertical="center" wrapText="1" readingOrder="2"/>
    </xf>
    <xf numFmtId="0" fontId="0" fillId="28" borderId="119" pivotButton="0" quotePrefix="0" xfId="0"/>
    <xf numFmtId="0" fontId="41" fillId="31" borderId="119" applyAlignment="1" pivotButton="0" quotePrefix="0" xfId="0">
      <alignment horizontal="center" vertical="center" wrapText="1" readingOrder="2"/>
    </xf>
    <xf numFmtId="3" fontId="41" fillId="31" borderId="119" applyAlignment="1" pivotButton="0" quotePrefix="0" xfId="0">
      <alignment horizontal="center" vertical="center" wrapText="1" readingOrder="2"/>
    </xf>
    <xf numFmtId="0" fontId="0" fillId="31" borderId="119" pivotButton="0" quotePrefix="0" xfId="0"/>
    <xf numFmtId="0" fontId="42" fillId="28" borderId="119" applyAlignment="1" pivotButton="0" quotePrefix="0" xfId="0">
      <alignment horizontal="right" vertical="center" wrapText="1" readingOrder="2"/>
    </xf>
    <xf numFmtId="166" fontId="37" fillId="3" borderId="119" applyAlignment="1" pivotButton="0" quotePrefix="0" xfId="0">
      <alignment horizontal="center" vertical="center" wrapText="1" readingOrder="2"/>
    </xf>
    <xf numFmtId="0" fontId="42" fillId="29" borderId="120" applyAlignment="1" pivotButton="0" quotePrefix="0" xfId="0">
      <alignment horizontal="center" vertical="center" wrapText="1" readingOrder="2"/>
    </xf>
    <xf numFmtId="0" fontId="0" fillId="0" borderId="146" pivotButton="0" quotePrefix="0" xfId="0"/>
    <xf numFmtId="0" fontId="0" fillId="0" borderId="147" pivotButton="0" quotePrefix="0" xfId="0"/>
    <xf numFmtId="167" fontId="37" fillId="3" borderId="119" applyAlignment="1" pivotButton="0" quotePrefix="0" xfId="0">
      <alignment horizontal="center" vertical="center" wrapText="1" readingOrder="2"/>
    </xf>
    <xf numFmtId="3" fontId="43" fillId="3" borderId="120" applyAlignment="1" pivotButton="0" quotePrefix="0" xfId="0">
      <alignment horizontal="center" vertical="center" wrapText="1" readingOrder="2"/>
    </xf>
    <xf numFmtId="3" fontId="11" fillId="3" borderId="120" applyAlignment="1" pivotButton="0" quotePrefix="0" xfId="0">
      <alignment horizontal="center" vertical="center" wrapText="1" readingOrder="2"/>
    </xf>
    <xf numFmtId="3" fontId="12" fillId="3" borderId="120" applyAlignment="1" pivotButton="0" quotePrefix="0" xfId="0">
      <alignment horizontal="center" vertical="center" wrapText="1" readingOrder="2"/>
    </xf>
    <xf numFmtId="0" fontId="13" fillId="32" borderId="119" applyAlignment="1" pivotButton="0" quotePrefix="0" xfId="0">
      <alignment horizontal="center" vertical="center" wrapText="1" readingOrder="2"/>
    </xf>
    <xf numFmtId="0" fontId="14" fillId="3" borderId="119" applyAlignment="1" pivotButton="0" quotePrefix="0" xfId="0">
      <alignment horizontal="right" vertical="center" wrapText="1" readingOrder="2"/>
    </xf>
    <xf numFmtId="3" fontId="8" fillId="3" borderId="119" applyAlignment="1" pivotButton="0" quotePrefix="0" xfId="0">
      <alignment horizontal="center" vertical="center" wrapText="1" readingOrder="2"/>
    </xf>
    <xf numFmtId="3" fontId="9" fillId="3" borderId="119" applyAlignment="1" pivotButton="0" quotePrefix="0" xfId="0">
      <alignment horizontal="center" vertical="center" wrapText="1" readingOrder="2"/>
    </xf>
    <xf numFmtId="0" fontId="41" fillId="27" borderId="31" applyAlignment="1" pivotButton="0" quotePrefix="0" xfId="0">
      <alignment horizontal="center" vertical="center" wrapText="1" readingOrder="2"/>
    </xf>
    <xf numFmtId="0" fontId="15" fillId="27" borderId="31" applyAlignment="1" pivotButton="0" quotePrefix="0" xfId="0">
      <alignment horizontal="center" vertical="center" wrapText="1" readingOrder="2"/>
    </xf>
    <xf numFmtId="0" fontId="0" fillId="33" borderId="31" pivotButton="0" quotePrefix="0" xfId="0"/>
    <xf numFmtId="0" fontId="0" fillId="3" borderId="148" pivotButton="0" quotePrefix="0" xfId="0"/>
    <xf numFmtId="0" fontId="44" fillId="3" borderId="148" applyAlignment="1" pivotButton="0" quotePrefix="0" xfId="0">
      <alignment horizontal="right" vertical="center" wrapText="1" readingOrder="2"/>
    </xf>
    <xf numFmtId="0" fontId="45" fillId="3" borderId="148" applyAlignment="1" pivotButton="0" quotePrefix="0" xfId="0">
      <alignment horizontal="center" vertical="center" wrapText="1" readingOrder="2"/>
    </xf>
    <xf numFmtId="0" fontId="46" fillId="34" borderId="149" applyAlignment="1" pivotButton="0" quotePrefix="0" xfId="0">
      <alignment horizontal="center" vertical="center" wrapText="1" readingOrder="2"/>
    </xf>
    <xf numFmtId="0" fontId="0" fillId="0" borderId="150" pivotButton="0" quotePrefix="0" xfId="0"/>
    <xf numFmtId="0" fontId="0" fillId="0" borderId="151" pivotButton="0" quotePrefix="0" xfId="0"/>
    <xf numFmtId="0" fontId="47" fillId="35" borderId="152" applyAlignment="1" pivotButton="0" quotePrefix="0" xfId="0">
      <alignment horizontal="center" vertical="bottom" wrapText="1"/>
    </xf>
    <xf numFmtId="0" fontId="0" fillId="0" borderId="153" pivotButton="0" quotePrefix="0" xfId="0"/>
    <xf numFmtId="0" fontId="0" fillId="0" borderId="154" pivotButton="0" quotePrefix="0" xfId="0"/>
    <xf numFmtId="0" fontId="0" fillId="0" borderId="155" pivotButton="0" quotePrefix="0" xfId="0"/>
    <xf numFmtId="0" fontId="0" fillId="0" borderId="156" pivotButton="0" quotePrefix="0" xfId="0"/>
    <xf numFmtId="0" fontId="0" fillId="0" borderId="157" pivotButton="0" quotePrefix="0" xfId="0"/>
    <xf numFmtId="0" fontId="0" fillId="0" borderId="158" pivotButton="0" quotePrefix="0" xfId="0"/>
    <xf numFmtId="0" fontId="0" fillId="0" borderId="159" pivotButton="0" quotePrefix="0" xfId="0"/>
    <xf numFmtId="0" fontId="0" fillId="0" borderId="160" pivotButton="0" quotePrefix="0" xfId="0"/>
    <xf numFmtId="0" fontId="0" fillId="0" borderId="161" pivotButton="0" quotePrefix="0" xfId="0"/>
    <xf numFmtId="0" fontId="44" fillId="3" borderId="148" applyAlignment="1" pivotButton="0" quotePrefix="0" xfId="0">
      <alignment horizontal="center" vertical="center" wrapText="1" readingOrder="2"/>
    </xf>
    <xf numFmtId="0" fontId="0" fillId="0" borderId="162" pivotButton="0" quotePrefix="0" xfId="0"/>
    <xf numFmtId="0" fontId="0" fillId="0" borderId="163" pivotButton="0" quotePrefix="0" xfId="0"/>
    <xf numFmtId="164" fontId="44" fillId="3" borderId="148" applyAlignment="1" pivotButton="0" quotePrefix="0" xfId="0">
      <alignment horizontal="center" vertical="center" wrapText="1" readingOrder="2"/>
    </xf>
    <xf numFmtId="0" fontId="0" fillId="0" borderId="164" pivotButton="0" quotePrefix="0" xfId="0"/>
    <xf numFmtId="0" fontId="0" fillId="0" borderId="165" pivotButton="0" quotePrefix="0" xfId="0"/>
    <xf numFmtId="165" fontId="44" fillId="3" borderId="148" applyAlignment="1" pivotButton="0" quotePrefix="0" xfId="0">
      <alignment horizontal="center" vertical="center" wrapText="1" readingOrder="2"/>
    </xf>
    <xf numFmtId="0" fontId="0" fillId="0" borderId="166" pivotButton="0" quotePrefix="0" xfId="0"/>
    <xf numFmtId="0" fontId="0" fillId="0" borderId="167" pivotButton="0" quotePrefix="0" xfId="0"/>
    <xf numFmtId="0" fontId="0" fillId="0" borderId="168" pivotButton="0" quotePrefix="0" xfId="0"/>
    <xf numFmtId="0" fontId="0" fillId="0" borderId="169" pivotButton="0" quotePrefix="0" xfId="0"/>
    <xf numFmtId="0" fontId="0" fillId="0" borderId="170" pivotButton="0" quotePrefix="0" xfId="0"/>
    <xf numFmtId="0" fontId="0" fillId="0" borderId="171" pivotButton="0" quotePrefix="0" xfId="0"/>
    <xf numFmtId="0" fontId="48" fillId="34" borderId="148" applyAlignment="1" pivotButton="0" quotePrefix="0" xfId="0">
      <alignment horizontal="center" vertical="center" wrapText="1" readingOrder="2"/>
    </xf>
    <xf numFmtId="0" fontId="44" fillId="34" borderId="148" applyAlignment="1" pivotButton="0" quotePrefix="0" xfId="0">
      <alignment horizontal="center" vertical="center" wrapText="1" readingOrder="2"/>
    </xf>
    <xf numFmtId="0" fontId="0" fillId="0" borderId="172" pivotButton="0" quotePrefix="0" xfId="0"/>
    <xf numFmtId="0" fontId="49" fillId="34" borderId="148" applyAlignment="1" pivotButton="0" quotePrefix="0" xfId="0">
      <alignment horizontal="center" vertical="center" wrapText="1" readingOrder="2"/>
    </xf>
    <xf numFmtId="0" fontId="0" fillId="0" borderId="173" pivotButton="0" quotePrefix="0" xfId="0"/>
    <xf numFmtId="0" fontId="0" fillId="0" borderId="174" pivotButton="0" quotePrefix="0" xfId="0"/>
    <xf numFmtId="0" fontId="49" fillId="36" borderId="148" applyAlignment="1" pivotButton="0" quotePrefix="0" xfId="0">
      <alignment horizontal="center" vertical="center" wrapText="1" readingOrder="2"/>
    </xf>
    <xf numFmtId="0" fontId="7" fillId="3" borderId="148" applyAlignment="1" pivotButton="0" quotePrefix="0" xfId="0">
      <alignment horizontal="center" vertical="center" wrapText="1" readingOrder="2"/>
    </xf>
    <xf numFmtId="3" fontId="7" fillId="3" borderId="148" applyAlignment="1" pivotButton="0" quotePrefix="0" xfId="0">
      <alignment horizontal="center" vertical="center" wrapText="1" readingOrder="2"/>
    </xf>
    <xf numFmtId="3" fontId="8" fillId="34" borderId="148" applyAlignment="1" pivotButton="0" quotePrefix="0" xfId="0">
      <alignment horizontal="center" vertical="center" wrapText="1" readingOrder="2"/>
    </xf>
    <xf numFmtId="3" fontId="9" fillId="34" borderId="148" applyAlignment="1" pivotButton="0" quotePrefix="0" xfId="0">
      <alignment horizontal="center" vertical="center" wrapText="1" readingOrder="2"/>
    </xf>
    <xf numFmtId="0" fontId="0" fillId="34" borderId="148" pivotButton="0" quotePrefix="0" xfId="0"/>
    <xf numFmtId="0" fontId="48" fillId="37" borderId="148" applyAlignment="1" pivotButton="0" quotePrefix="0" xfId="0">
      <alignment horizontal="center" vertical="center" wrapText="1" readingOrder="2"/>
    </xf>
    <xf numFmtId="3" fontId="48" fillId="37" borderId="148" applyAlignment="1" pivotButton="0" quotePrefix="0" xfId="0">
      <alignment horizontal="center" vertical="center" wrapText="1" readingOrder="2"/>
    </xf>
    <xf numFmtId="0" fontId="0" fillId="37" borderId="148" pivotButton="0" quotePrefix="0" xfId="0"/>
    <xf numFmtId="0" fontId="49" fillId="34" borderId="148" applyAlignment="1" pivotButton="0" quotePrefix="0" xfId="0">
      <alignment horizontal="right" vertical="center" wrapText="1" readingOrder="2"/>
    </xf>
    <xf numFmtId="166" fontId="44" fillId="3" borderId="148" applyAlignment="1" pivotButton="0" quotePrefix="0" xfId="0">
      <alignment horizontal="center" vertical="center" wrapText="1" readingOrder="2"/>
    </xf>
    <xf numFmtId="0" fontId="49" fillId="35" borderId="149" applyAlignment="1" pivotButton="0" quotePrefix="0" xfId="0">
      <alignment horizontal="center" vertical="center" wrapText="1" readingOrder="2"/>
    </xf>
    <xf numFmtId="0" fontId="0" fillId="0" borderId="175" pivotButton="0" quotePrefix="0" xfId="0"/>
    <xf numFmtId="0" fontId="0" fillId="0" borderId="176" pivotButton="0" quotePrefix="0" xfId="0"/>
    <xf numFmtId="167" fontId="44" fillId="3" borderId="148" applyAlignment="1" pivotButton="0" quotePrefix="0" xfId="0">
      <alignment horizontal="center" vertical="center" wrapText="1" readingOrder="2"/>
    </xf>
    <xf numFmtId="3" fontId="50" fillId="3" borderId="149" applyAlignment="1" pivotButton="0" quotePrefix="0" xfId="0">
      <alignment horizontal="center" vertical="center" wrapText="1" readingOrder="2"/>
    </xf>
    <xf numFmtId="3" fontId="11" fillId="3" borderId="149" applyAlignment="1" pivotButton="0" quotePrefix="0" xfId="0">
      <alignment horizontal="center" vertical="center" wrapText="1" readingOrder="2"/>
    </xf>
    <xf numFmtId="3" fontId="12" fillId="3" borderId="149" applyAlignment="1" pivotButton="0" quotePrefix="0" xfId="0">
      <alignment horizontal="center" vertical="center" wrapText="1" readingOrder="2"/>
    </xf>
    <xf numFmtId="0" fontId="13" fillId="38" borderId="148" applyAlignment="1" pivotButton="0" quotePrefix="0" xfId="0">
      <alignment horizontal="center" vertical="center" wrapText="1" readingOrder="2"/>
    </xf>
    <xf numFmtId="0" fontId="14" fillId="3" borderId="148" applyAlignment="1" pivotButton="0" quotePrefix="0" xfId="0">
      <alignment horizontal="right" vertical="center" wrapText="1" readingOrder="2"/>
    </xf>
    <xf numFmtId="3" fontId="8" fillId="3" borderId="148" applyAlignment="1" pivotButton="0" quotePrefix="0" xfId="0">
      <alignment horizontal="center" vertical="center" wrapText="1" readingOrder="2"/>
    </xf>
    <xf numFmtId="3" fontId="9" fillId="3" borderId="148" applyAlignment="1" pivotButton="0" quotePrefix="0" xfId="0">
      <alignment horizontal="center" vertical="center" wrapText="1" readingOrder="2"/>
    </xf>
    <xf numFmtId="0" fontId="48" fillId="33" borderId="31" applyAlignment="1" pivotButton="0" quotePrefix="0" xfId="0">
      <alignment horizontal="center" vertical="center" wrapText="1" readingOrder="2"/>
    </xf>
    <xf numFmtId="0" fontId="15" fillId="33" borderId="31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905000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</row>
    <row r="2" ht="18" customHeight="1">
      <c r="A2" s="49" t="n"/>
      <c r="B2" s="50" t="inlineStr">
        <is>
          <t>اليوم</t>
        </is>
      </c>
      <c r="C2" s="51" t="n"/>
      <c r="D2" s="52" t="inlineStr">
        <is>
          <t>التقرير اليومي لصندوق شركة الغدير</t>
        </is>
      </c>
      <c r="E2" s="53" t="n"/>
      <c r="F2" s="53" t="n"/>
      <c r="G2" s="53" t="n"/>
      <c r="H2" s="53" t="n"/>
      <c r="I2" s="53" t="n"/>
      <c r="J2" s="54" t="n"/>
      <c r="K2" s="55" t="n"/>
      <c r="L2" s="56" t="n"/>
      <c r="M2" s="57" t="n"/>
    </row>
    <row r="3" ht="18" customHeight="1">
      <c r="A3" s="49" t="n"/>
      <c r="B3" s="50" t="inlineStr">
        <is>
          <t>التاريخ</t>
        </is>
      </c>
      <c r="C3" s="51" t="n"/>
      <c r="D3" s="58" t="n"/>
      <c r="E3" s="59" t="n"/>
      <c r="F3" s="59" t="n"/>
      <c r="G3" s="59" t="n"/>
      <c r="H3" s="59" t="n"/>
      <c r="I3" s="59" t="n"/>
      <c r="J3" s="60" t="n"/>
      <c r="K3" s="61" t="n"/>
      <c r="L3" s="59" t="n"/>
      <c r="M3" s="62" t="n"/>
    </row>
    <row r="4" ht="18" customHeight="1">
      <c r="A4" s="49" t="n"/>
      <c r="B4" s="50" t="inlineStr">
        <is>
          <t>أمين الصندوق</t>
        </is>
      </c>
      <c r="C4" s="51" t="n"/>
      <c r="D4" s="58" t="n"/>
      <c r="E4" s="59" t="n"/>
      <c r="F4" s="59" t="n"/>
      <c r="G4" s="59" t="n"/>
      <c r="H4" s="59" t="n"/>
      <c r="I4" s="59" t="n"/>
      <c r="J4" s="60" t="n"/>
      <c r="K4" s="61" t="n"/>
      <c r="L4" s="59" t="n"/>
      <c r="M4" s="62" t="n"/>
    </row>
    <row r="5" ht="18" customHeight="1">
      <c r="A5" s="49" t="n"/>
      <c r="B5" s="50" t="inlineStr">
        <is>
          <t>سلم التقرير</t>
        </is>
      </c>
      <c r="C5" s="51" t="n"/>
      <c r="D5" s="63" t="n"/>
      <c r="E5" s="64" t="n"/>
      <c r="F5" s="64" t="n"/>
      <c r="G5" s="64" t="n"/>
      <c r="H5" s="64" t="n"/>
      <c r="I5" s="64" t="n"/>
      <c r="J5" s="65" t="n"/>
      <c r="K5" s="61" t="n"/>
      <c r="L5" s="59" t="n"/>
      <c r="M5" s="62" t="n"/>
    </row>
    <row r="6" ht="18" customHeight="1">
      <c r="A6" s="49" t="n"/>
      <c r="B6" s="50" t="inlineStr">
        <is>
          <t>اسم صندوق اليوم</t>
        </is>
      </c>
      <c r="C6" s="66" t="inlineStr">
        <is>
          <t>شركة الغدير</t>
        </is>
      </c>
      <c r="D6" s="49" t="n"/>
      <c r="E6" s="67" t="n"/>
      <c r="F6" s="67" t="n"/>
      <c r="G6" s="67" t="n"/>
      <c r="H6" s="67" t="n"/>
      <c r="I6" s="67" t="n"/>
      <c r="J6" s="68" t="n"/>
      <c r="K6" s="61" t="n"/>
      <c r="L6" s="59" t="n"/>
      <c r="M6" s="62" t="n"/>
    </row>
    <row r="7" ht="18" customHeight="1">
      <c r="A7" s="49" t="n"/>
      <c r="B7" s="50" t="inlineStr">
        <is>
          <t>الرصيد السابق - دينار</t>
        </is>
      </c>
      <c r="C7" s="69" t="n">
        <v>0</v>
      </c>
      <c r="D7" s="70" t="n"/>
      <c r="E7" s="59" t="n"/>
      <c r="F7" s="59" t="n"/>
      <c r="G7" s="59" t="n"/>
      <c r="H7" s="59" t="n"/>
      <c r="I7" s="59" t="n"/>
      <c r="J7" s="71" t="n"/>
      <c r="K7" s="61" t="n"/>
      <c r="L7" s="59" t="n"/>
      <c r="M7" s="62" t="n"/>
    </row>
    <row r="8" ht="18" customHeight="1">
      <c r="A8" s="49" t="n"/>
      <c r="B8" s="50" t="inlineStr">
        <is>
          <t>الرصيد السابق - دولار</t>
        </is>
      </c>
      <c r="C8" s="72" t="n">
        <v>0</v>
      </c>
      <c r="D8" s="73" t="n"/>
      <c r="E8" s="74" t="n"/>
      <c r="F8" s="74" t="n"/>
      <c r="G8" s="74" t="n"/>
      <c r="H8" s="74" t="n"/>
      <c r="I8" s="74" t="n"/>
      <c r="J8" s="75" t="n"/>
      <c r="K8" s="76" t="n"/>
      <c r="L8" s="77" t="n"/>
      <c r="M8" s="78" t="n"/>
    </row>
    <row r="9" ht="5" customHeight="1">
      <c r="A9" s="48" t="n"/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</row>
    <row r="10" ht="20" customHeight="1">
      <c r="A10" s="79" t="inlineStr">
        <is>
          <t>ت</t>
        </is>
      </c>
      <c r="B10" s="80" t="inlineStr">
        <is>
          <t>التفاصيل</t>
        </is>
      </c>
      <c r="C10" s="80" t="inlineStr">
        <is>
          <t>صندوق - الدينار</t>
        </is>
      </c>
      <c r="D10" s="81" t="n"/>
      <c r="E10" s="80" t="inlineStr">
        <is>
          <t>صندوق - الدولار</t>
        </is>
      </c>
      <c r="F10" s="81" t="n"/>
      <c r="G10" s="82" t="inlineStr">
        <is>
          <t>رقم المستند</t>
        </is>
      </c>
      <c r="H10" s="82" t="inlineStr">
        <is>
          <t>اسم الحساب العميل</t>
        </is>
      </c>
      <c r="I10" s="82" t="inlineStr">
        <is>
          <t>رقم الحركة المالية</t>
        </is>
      </c>
      <c r="J10" s="80" t="inlineStr">
        <is>
          <t>المستندات</t>
        </is>
      </c>
      <c r="K10" s="83" t="n"/>
      <c r="L10" s="81" t="n"/>
      <c r="M10" s="82" t="inlineStr">
        <is>
          <t>التفاصيل</t>
        </is>
      </c>
    </row>
    <row r="11" ht="18" customHeight="1">
      <c r="A11" s="84" t="n"/>
      <c r="B11" s="84" t="n"/>
      <c r="C11" s="85" t="inlineStr">
        <is>
          <t>متنوعات</t>
        </is>
      </c>
      <c r="D11" s="85" t="inlineStr">
        <is>
          <t>مصروفات</t>
        </is>
      </c>
      <c r="E11" s="85" t="inlineStr">
        <is>
          <t>متنوعات</t>
        </is>
      </c>
      <c r="F11" s="85" t="inlineStr">
        <is>
          <t>مصروفات</t>
        </is>
      </c>
      <c r="G11" s="84" t="n"/>
      <c r="H11" s="84" t="n"/>
      <c r="I11" s="84" t="n"/>
      <c r="J11" s="85" t="inlineStr">
        <is>
          <t>نوع المستند</t>
        </is>
      </c>
      <c r="K11" s="85" t="inlineStr">
        <is>
          <t>تسلسل</t>
        </is>
      </c>
      <c r="L11" s="85" t="inlineStr">
        <is>
          <t>رقم المستند</t>
        </is>
      </c>
      <c r="M11" s="84" t="n"/>
    </row>
    <row r="12" ht="17" customHeight="1">
      <c r="A12" s="86" t="n">
        <v>1</v>
      </c>
      <c r="B12" s="86" t="inlineStr">
        <is>
          <t>وصل قبض</t>
        </is>
      </c>
      <c r="C12" s="87" t="n">
        <v>10000000</v>
      </c>
      <c r="D12" s="88" t="n"/>
      <c r="E12" s="88" t="n"/>
      <c r="F12" s="88" t="n"/>
      <c r="G12" s="86" t="inlineStr">
        <is>
          <t>1</t>
        </is>
      </c>
      <c r="H12" s="86" t="inlineStr">
        <is>
          <t>شركة النور</t>
        </is>
      </c>
      <c r="I12" s="86" t="inlineStr">
        <is>
          <t>1</t>
        </is>
      </c>
      <c r="J12" s="86" t="inlineStr">
        <is>
          <t>قبض</t>
        </is>
      </c>
      <c r="K12" s="86" t="n">
        <v>1</v>
      </c>
      <c r="L12" s="86" t="inlineStr">
        <is>
          <t>1</t>
        </is>
      </c>
      <c r="M12" s="86" t="n"/>
    </row>
    <row r="13" ht="17" customHeight="1">
      <c r="A13" s="86" t="n">
        <v>2</v>
      </c>
      <c r="B13" s="86" t="inlineStr">
        <is>
          <t>وصل قبض</t>
        </is>
      </c>
      <c r="C13" s="87" t="n">
        <v>20000000</v>
      </c>
      <c r="D13" s="88" t="n"/>
      <c r="E13" s="88" t="n"/>
      <c r="F13" s="88" t="n"/>
      <c r="G13" s="86" t="inlineStr">
        <is>
          <t>2</t>
        </is>
      </c>
      <c r="H13" s="86" t="inlineStr">
        <is>
          <t>شركة المستقبل</t>
        </is>
      </c>
      <c r="I13" s="86" t="inlineStr">
        <is>
          <t>2</t>
        </is>
      </c>
      <c r="J13" s="86" t="inlineStr">
        <is>
          <t>قبض</t>
        </is>
      </c>
      <c r="K13" s="86" t="n">
        <v>2</v>
      </c>
      <c r="L13" s="86" t="inlineStr">
        <is>
          <t>2</t>
        </is>
      </c>
      <c r="M13" s="86" t="n"/>
    </row>
    <row r="14" ht="17" customHeight="1">
      <c r="A14" s="86" t="n">
        <v>3</v>
      </c>
      <c r="B14" s="86" t="inlineStr">
        <is>
          <t>وصل قبض</t>
        </is>
      </c>
      <c r="C14" s="87" t="n">
        <v>30000000</v>
      </c>
      <c r="D14" s="88" t="n"/>
      <c r="E14" s="88" t="n"/>
      <c r="F14" s="88" t="n"/>
      <c r="G14" s="86" t="inlineStr">
        <is>
          <t>3</t>
        </is>
      </c>
      <c r="H14" s="86" t="inlineStr">
        <is>
          <t>شركة البناء</t>
        </is>
      </c>
      <c r="I14" s="86" t="inlineStr">
        <is>
          <t>3</t>
        </is>
      </c>
      <c r="J14" s="86" t="inlineStr">
        <is>
          <t>قبض</t>
        </is>
      </c>
      <c r="K14" s="86" t="n">
        <v>3</v>
      </c>
      <c r="L14" s="86" t="inlineStr">
        <is>
          <t>3</t>
        </is>
      </c>
      <c r="M14" s="86" t="n"/>
    </row>
    <row r="15" ht="17" customHeight="1">
      <c r="A15" s="86" t="n">
        <v>4</v>
      </c>
      <c r="B15" s="86" t="inlineStr">
        <is>
          <t>قبض مصروف اليومي</t>
        </is>
      </c>
      <c r="C15" s="88" t="n"/>
      <c r="D15" s="88" t="n"/>
      <c r="E15" s="87" t="n">
        <v>10000</v>
      </c>
      <c r="F15" s="88" t="n"/>
      <c r="G15" s="86" t="inlineStr">
        <is>
          <t>4</t>
        </is>
      </c>
      <c r="H15" s="86" t="inlineStr">
        <is>
          <t>مصروفات يومية</t>
        </is>
      </c>
      <c r="I15" s="86" t="inlineStr">
        <is>
          <t>4</t>
        </is>
      </c>
      <c r="J15" s="86" t="inlineStr">
        <is>
          <t>مصروف</t>
        </is>
      </c>
      <c r="K15" s="86" t="n">
        <v>1</v>
      </c>
      <c r="L15" s="86" t="inlineStr">
        <is>
          <t>4</t>
        </is>
      </c>
      <c r="M15" s="86" t="n"/>
    </row>
    <row r="16" ht="17" customHeight="1">
      <c r="A16" s="86" t="n">
        <v>5</v>
      </c>
      <c r="B16" s="86" t="inlineStr">
        <is>
          <t>صرف على مقاول</t>
        </is>
      </c>
      <c r="C16" s="88" t="n"/>
      <c r="D16" s="89" t="n">
        <v>1510000</v>
      </c>
      <c r="E16" s="88" t="n"/>
      <c r="F16" s="88" t="n"/>
      <c r="G16" s="86" t="inlineStr">
        <is>
          <t>1</t>
        </is>
      </c>
      <c r="H16" s="86" t="inlineStr">
        <is>
          <t>مقاول عام</t>
        </is>
      </c>
      <c r="I16" s="86" t="inlineStr">
        <is>
          <t>1</t>
        </is>
      </c>
      <c r="J16" s="86" t="inlineStr">
        <is>
          <t>صرف</t>
        </is>
      </c>
      <c r="K16" s="86" t="n">
        <v>1</v>
      </c>
      <c r="L16" s="86" t="inlineStr">
        <is>
          <t>1</t>
        </is>
      </c>
      <c r="M16" s="86" t="n"/>
    </row>
    <row r="17" ht="17" customHeight="1">
      <c r="A17" s="86" t="n">
        <v>6</v>
      </c>
      <c r="B17" s="86" t="inlineStr">
        <is>
          <t>صرف رواتب</t>
        </is>
      </c>
      <c r="C17" s="88" t="n"/>
      <c r="D17" s="89" t="n">
        <v>22250000</v>
      </c>
      <c r="E17" s="88" t="n"/>
      <c r="F17" s="88" t="n"/>
      <c r="G17" s="86" t="inlineStr">
        <is>
          <t>2</t>
        </is>
      </c>
      <c r="H17" s="86" t="inlineStr">
        <is>
          <t>الموظفون</t>
        </is>
      </c>
      <c r="I17" s="86" t="inlineStr">
        <is>
          <t>2</t>
        </is>
      </c>
      <c r="J17" s="86" t="inlineStr">
        <is>
          <t>صرف</t>
        </is>
      </c>
      <c r="K17" s="86" t="n">
        <v>2</v>
      </c>
      <c r="L17" s="86" t="inlineStr">
        <is>
          <t>2</t>
        </is>
      </c>
      <c r="M17" s="86" t="n"/>
    </row>
    <row r="18" ht="17" customHeight="1">
      <c r="A18" s="86" t="n">
        <v>7</v>
      </c>
      <c r="B18" s="86" t="n"/>
      <c r="C18" s="88" t="n"/>
      <c r="D18" s="88" t="n"/>
      <c r="E18" s="88" t="n"/>
      <c r="F18" s="88" t="n"/>
      <c r="G18" s="86" t="n"/>
      <c r="H18" s="86" t="n"/>
      <c r="I18" s="86" t="n"/>
      <c r="J18" s="86" t="n"/>
      <c r="K18" s="86" t="n"/>
      <c r="L18" s="86" t="n"/>
      <c r="M18" s="86" t="n"/>
    </row>
    <row r="19" ht="17" customHeight="1">
      <c r="A19" s="86" t="n">
        <v>8</v>
      </c>
      <c r="B19" s="86" t="n"/>
      <c r="C19" s="88" t="n"/>
      <c r="D19" s="88" t="n"/>
      <c r="E19" s="88" t="n"/>
      <c r="F19" s="88" t="n"/>
      <c r="G19" s="86" t="n"/>
      <c r="H19" s="86" t="n"/>
      <c r="I19" s="86" t="n"/>
      <c r="J19" s="86" t="n"/>
      <c r="K19" s="86" t="n"/>
      <c r="L19" s="86" t="n"/>
      <c r="M19" s="86" t="n"/>
    </row>
    <row r="20" ht="17" customHeight="1">
      <c r="A20" s="86" t="n">
        <v>9</v>
      </c>
      <c r="B20" s="86" t="n"/>
      <c r="C20" s="88" t="n"/>
      <c r="D20" s="88" t="n"/>
      <c r="E20" s="88" t="n"/>
      <c r="F20" s="88" t="n"/>
      <c r="G20" s="86" t="n"/>
      <c r="H20" s="86" t="n"/>
      <c r="I20" s="86" t="n"/>
      <c r="J20" s="86" t="n"/>
      <c r="K20" s="86" t="n"/>
      <c r="L20" s="86" t="n"/>
      <c r="M20" s="86" t="n"/>
    </row>
    <row r="21" ht="17" customHeight="1">
      <c r="A21" s="86" t="n">
        <v>10</v>
      </c>
      <c r="B21" s="86" t="n"/>
      <c r="C21" s="88" t="n"/>
      <c r="D21" s="88" t="n"/>
      <c r="E21" s="88" t="n"/>
      <c r="F21" s="88" t="n"/>
      <c r="G21" s="86" t="n"/>
      <c r="H21" s="86" t="n"/>
      <c r="I21" s="86" t="n"/>
      <c r="J21" s="86" t="n"/>
      <c r="K21" s="86" t="n"/>
      <c r="L21" s="86" t="n"/>
      <c r="M21" s="86" t="n"/>
    </row>
    <row r="22" ht="17" customHeight="1">
      <c r="A22" s="86" t="n">
        <v>11</v>
      </c>
      <c r="B22" s="86" t="n"/>
      <c r="C22" s="88" t="n"/>
      <c r="D22" s="88" t="n"/>
      <c r="E22" s="88" t="n"/>
      <c r="F22" s="88" t="n"/>
      <c r="G22" s="86" t="n"/>
      <c r="H22" s="86" t="n"/>
      <c r="I22" s="86" t="n"/>
      <c r="J22" s="86" t="n"/>
      <c r="K22" s="86" t="n"/>
      <c r="L22" s="86" t="n"/>
      <c r="M22" s="86" t="n"/>
    </row>
    <row r="23" ht="20" customHeight="1">
      <c r="A23" s="79" t="inlineStr">
        <is>
          <t>المجموع</t>
        </is>
      </c>
      <c r="B23" s="81" t="n"/>
      <c r="C23" s="90">
        <f>SUM(C12:C22)</f>
        <v/>
      </c>
      <c r="D23" s="91">
        <f>SUM(D12:D22)</f>
        <v/>
      </c>
      <c r="E23" s="90">
        <f>SUM(E12:E22)</f>
        <v/>
      </c>
      <c r="F23" s="91">
        <f>SUM(F12:F22)</f>
        <v/>
      </c>
      <c r="G23" s="92" t="n"/>
      <c r="H23" s="92" t="n"/>
      <c r="I23" s="92" t="n"/>
      <c r="J23" s="92" t="n"/>
      <c r="K23" s="92" t="n"/>
      <c r="L23" s="92" t="n"/>
      <c r="M23" s="92" t="n"/>
    </row>
    <row r="24" ht="20" customHeight="1">
      <c r="A24" s="93" t="inlineStr">
        <is>
          <t>الرصيد</t>
        </is>
      </c>
      <c r="B24" s="81" t="n"/>
      <c r="C24" s="94">
        <f>C7+C23-D23</f>
        <v/>
      </c>
      <c r="D24" s="81" t="n"/>
      <c r="E24" s="94">
        <f>C8+E23-F23</f>
        <v/>
      </c>
      <c r="F24" s="81" t="n"/>
      <c r="G24" s="95" t="n"/>
      <c r="H24" s="95" t="n"/>
      <c r="I24" s="95" t="n"/>
      <c r="J24" s="95" t="n"/>
      <c r="K24" s="95" t="n"/>
      <c r="L24" s="95" t="n"/>
      <c r="M24" s="95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</row>
    <row r="26" ht="17" customHeight="1">
      <c r="A26" s="96" t="inlineStr">
        <is>
          <t>الرصيد الحالي - دينار</t>
        </is>
      </c>
      <c r="B26" s="81" t="n"/>
      <c r="C26" s="97">
        <f>C24</f>
        <v/>
      </c>
      <c r="D26" s="98" t="inlineStr">
        <is>
          <t xml:space="preserve">      الرصيد الحالي</t>
        </is>
      </c>
      <c r="E26" s="99" t="n"/>
      <c r="F26" s="100" t="n"/>
      <c r="G26" s="98" t="inlineStr">
        <is>
          <t xml:space="preserve">      مجموع الاستيرادات</t>
        </is>
      </c>
      <c r="H26" s="99" t="n"/>
      <c r="I26" s="100" t="n"/>
      <c r="J26" s="98" t="inlineStr">
        <is>
          <t xml:space="preserve">      مجموع المصروفات والسحوبات</t>
        </is>
      </c>
      <c r="K26" s="99" t="n"/>
      <c r="L26" s="100" t="n"/>
      <c r="M26" s="48" t="n"/>
    </row>
    <row r="27" ht="26" customHeight="1">
      <c r="A27" s="96" t="inlineStr">
        <is>
          <t>الرصيد الحالي - دولار</t>
        </is>
      </c>
      <c r="B27" s="81" t="n"/>
      <c r="C27" s="101">
        <f>E24</f>
        <v/>
      </c>
      <c r="D27" s="102">
        <f>C24</f>
        <v/>
      </c>
      <c r="E27" s="99" t="n"/>
      <c r="F27" s="100" t="n"/>
      <c r="G27" s="103">
        <f>C23+E23</f>
        <v/>
      </c>
      <c r="H27" s="99" t="n"/>
      <c r="I27" s="100" t="n"/>
      <c r="J27" s="104">
        <f>D23+F23</f>
        <v/>
      </c>
      <c r="K27" s="99" t="n"/>
      <c r="L27" s="100" t="n"/>
      <c r="M27" s="48" t="n"/>
    </row>
    <row r="28" ht="16" customHeight="1">
      <c r="A28" s="48" t="n"/>
      <c r="B28" s="48" t="n"/>
      <c r="C28" s="48" t="n"/>
      <c r="D28" s="80" t="inlineStr">
        <is>
          <t>الرصيد الحالي = مجموع الاستيرادات − مجموع المصروفات والسحوبات</t>
        </is>
      </c>
      <c r="E28" s="83" t="n"/>
      <c r="F28" s="83" t="n"/>
      <c r="G28" s="83" t="n"/>
      <c r="H28" s="83" t="n"/>
      <c r="I28" s="83" t="n"/>
      <c r="J28" s="83" t="n"/>
      <c r="K28" s="83" t="n"/>
      <c r="L28" s="81" t="n"/>
      <c r="M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</row>
    <row r="30" ht="20" customHeight="1">
      <c r="A30" s="105" t="inlineStr">
        <is>
          <t xml:space="preserve">      ملخص الوصولات</t>
        </is>
      </c>
      <c r="B30" s="83" t="n"/>
      <c r="C30" s="83" t="n"/>
      <c r="D30" s="83" t="n"/>
      <c r="E30" s="83" t="n"/>
      <c r="F30" s="81" t="n"/>
      <c r="G30" s="48" t="n"/>
      <c r="H30" s="105" t="inlineStr">
        <is>
          <t xml:space="preserve">      ملاحظات أمين الصندوق</t>
        </is>
      </c>
      <c r="I30" s="83" t="n"/>
      <c r="J30" s="83" t="n"/>
      <c r="K30" s="83" t="n"/>
      <c r="L30" s="83" t="n"/>
      <c r="M30" s="81" t="n"/>
    </row>
    <row r="31" ht="17" customHeight="1">
      <c r="A31" s="82" t="inlineStr">
        <is>
          <t>ت</t>
        </is>
      </c>
      <c r="B31" s="82" t="inlineStr">
        <is>
          <t>تفاصيل</t>
        </is>
      </c>
      <c r="C31" s="82" t="inlineStr">
        <is>
          <t>العدد</t>
        </is>
      </c>
      <c r="D31" s="82" t="inlineStr">
        <is>
          <t>المجموع</t>
        </is>
      </c>
      <c r="E31" s="92" t="n"/>
      <c r="F31" s="92" t="n"/>
      <c r="G31" s="48" t="n"/>
      <c r="H31" s="106" t="inlineStr">
        <is>
          <t>·  ·  ·  ·  ·  ·  ·  ·  ·  ·  ·  ·  ·  ·  ·  ·  ·  ·  ·  ·  ·  ·  ·  ·</t>
        </is>
      </c>
      <c r="I31" s="83" t="n"/>
      <c r="J31" s="83" t="n"/>
      <c r="K31" s="83" t="n"/>
      <c r="L31" s="83" t="n"/>
      <c r="M31" s="81" t="n"/>
    </row>
    <row r="32" ht="16" customHeight="1">
      <c r="A32" s="51" t="n">
        <v>1</v>
      </c>
      <c r="B32" s="51" t="inlineStr">
        <is>
          <t>وصل قبض</t>
        </is>
      </c>
      <c r="C32" s="51">
        <f>COUNTIF(J12:J22,"قبض")</f>
        <v/>
      </c>
      <c r="D32" s="87">
        <f>C23</f>
        <v/>
      </c>
      <c r="E32" s="51" t="n"/>
      <c r="F32" s="51" t="n"/>
      <c r="G32" s="48" t="n"/>
      <c r="H32" s="106" t="inlineStr">
        <is>
          <t>·  ·  ·  ·  ·  ·  ·  ·  ·  ·  ·  ·  ·  ·  ·  ·  ·  ·  ·  ·  ·  ·  ·  ·</t>
        </is>
      </c>
      <c r="I32" s="83" t="n"/>
      <c r="J32" s="83" t="n"/>
      <c r="K32" s="83" t="n"/>
      <c r="L32" s="83" t="n"/>
      <c r="M32" s="81" t="n"/>
    </row>
    <row r="33" ht="16" customHeight="1">
      <c r="A33" s="51" t="n">
        <v>2</v>
      </c>
      <c r="B33" s="51" t="inlineStr">
        <is>
          <t>قبض مصروف</t>
        </is>
      </c>
      <c r="C33" s="51">
        <f>COUNTIF(J12:J22,"مصروف")</f>
        <v/>
      </c>
      <c r="D33" s="89" t="n">
        <v>0</v>
      </c>
      <c r="E33" s="51" t="n"/>
      <c r="F33" s="51" t="n"/>
      <c r="G33" s="48" t="n"/>
      <c r="H33" s="106" t="inlineStr">
        <is>
          <t>·  ·  ·  ·  ·  ·  ·  ·  ·  ·  ·  ·  ·  ·  ·  ·  ·  ·  ·  ·  ·  ·  ·  ·</t>
        </is>
      </c>
      <c r="I33" s="83" t="n"/>
      <c r="J33" s="83" t="n"/>
      <c r="K33" s="83" t="n"/>
      <c r="L33" s="83" t="n"/>
      <c r="M33" s="81" t="n"/>
    </row>
    <row r="34" ht="16" customHeight="1">
      <c r="A34" s="51" t="n">
        <v>3</v>
      </c>
      <c r="B34" s="51" t="inlineStr">
        <is>
          <t>وصل صرف</t>
        </is>
      </c>
      <c r="C34" s="51">
        <f>COUNTIF(J12:J22,"صرف")</f>
        <v/>
      </c>
      <c r="D34" s="89">
        <f>D23</f>
        <v/>
      </c>
      <c r="E34" s="51" t="n"/>
      <c r="F34" s="51" t="n"/>
      <c r="G34" s="48" t="n"/>
      <c r="H34" s="106" t="inlineStr">
        <is>
          <t>·  ·  ·  ·  ·  ·  ·  ·  ·  ·  ·  ·  ·  ·  ·  ·  ·  ·  ·  ·  ·  ·  ·  ·</t>
        </is>
      </c>
      <c r="I34" s="83" t="n"/>
      <c r="J34" s="83" t="n"/>
      <c r="K34" s="83" t="n"/>
      <c r="L34" s="83" t="n"/>
      <c r="M34" s="81" t="n"/>
    </row>
    <row r="35" ht="16" customHeight="1">
      <c r="A35" s="51" t="n">
        <v>4</v>
      </c>
      <c r="B35" s="51" t="inlineStr">
        <is>
          <t>صرف مصرفي</t>
        </is>
      </c>
      <c r="C35" s="51" t="n">
        <v>0</v>
      </c>
      <c r="D35" s="89" t="n">
        <v>0</v>
      </c>
      <c r="E35" s="51" t="n"/>
      <c r="F35" s="51" t="n"/>
      <c r="G35" s="48" t="n"/>
      <c r="H35" s="106" t="inlineStr">
        <is>
          <t>·  ·  ·  ·  ·  ·  ·  ·  ·  ·  ·  ·  ·  ·  ·  ·  ·  ·  ·  ·  ·  ·  ·  ·</t>
        </is>
      </c>
      <c r="I35" s="83" t="n"/>
      <c r="J35" s="83" t="n"/>
      <c r="K35" s="83" t="n"/>
      <c r="L35" s="83" t="n"/>
      <c r="M35" s="81" t="n"/>
    </row>
    <row r="36" ht="16" customHeight="1">
      <c r="A36" s="51" t="n">
        <v>5</v>
      </c>
      <c r="B36" s="51" t="inlineStr">
        <is>
          <t>وصلات ملغاة</t>
        </is>
      </c>
      <c r="C36" s="51" t="n">
        <v>0</v>
      </c>
      <c r="D36" s="89" t="n">
        <v>0</v>
      </c>
      <c r="E36" s="51" t="n"/>
      <c r="F36" s="51" t="n"/>
      <c r="G36" s="48" t="n"/>
      <c r="H36" s="106" t="inlineStr">
        <is>
          <t>·  ·  ·  ·  ·  ·  ·  ·  ·  ·  ·  ·  ·  ·  ·  ·  ·  ·  ·  ·  ·  ·  ·  ·</t>
        </is>
      </c>
      <c r="I36" s="83" t="n"/>
      <c r="J36" s="83" t="n"/>
      <c r="K36" s="83" t="n"/>
      <c r="L36" s="83" t="n"/>
      <c r="M36" s="81" t="n"/>
    </row>
    <row r="37" ht="16" customHeight="1">
      <c r="A37" s="51" t="n">
        <v>6</v>
      </c>
      <c r="B37" s="51" t="inlineStr">
        <is>
          <t>وصلات باطلة</t>
        </is>
      </c>
      <c r="C37" s="51" t="n">
        <v>0</v>
      </c>
      <c r="D37" s="89" t="n">
        <v>0</v>
      </c>
      <c r="E37" s="51" t="n"/>
      <c r="F37" s="51" t="n"/>
      <c r="G37" s="48" t="n"/>
      <c r="H37" s="106" t="inlineStr">
        <is>
          <t>·  ·  ·  ·  ·  ·  ·  ·  ·  ·  ·  ·  ·  ·  ·  ·  ·  ·  ·  ·  ·  ·  ·  ·</t>
        </is>
      </c>
      <c r="I37" s="83" t="n"/>
      <c r="J37" s="83" t="n"/>
      <c r="K37" s="83" t="n"/>
      <c r="L37" s="83" t="n"/>
      <c r="M37" s="81" t="n"/>
    </row>
    <row r="38" ht="17" customHeight="1">
      <c r="A38" s="80" t="inlineStr">
        <is>
          <t>إجمالي الوصولات</t>
        </is>
      </c>
      <c r="B38" s="81" t="n"/>
      <c r="C38" s="80">
        <f>C32+C33+C34+C35+C36+C37</f>
        <v/>
      </c>
      <c r="D38" s="49" t="inlineStr"/>
      <c r="E38" s="92" t="n"/>
      <c r="F38" s="92" t="n"/>
      <c r="G38" s="48" t="n"/>
      <c r="H38" s="48" t="n"/>
      <c r="I38" s="48" t="n"/>
      <c r="J38" s="48" t="n"/>
      <c r="K38" s="48" t="n"/>
      <c r="L38" s="48" t="n"/>
      <c r="M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</row>
    <row r="40" ht="16" customHeight="1">
      <c r="A40" s="107" t="inlineStr">
        <is>
          <t>أمين الصندوق</t>
        </is>
      </c>
      <c r="B40" s="59" t="n"/>
      <c r="C40" s="59" t="n"/>
      <c r="D40" s="59" t="n"/>
      <c r="E40" s="48" t="n"/>
      <c r="F40" s="48" t="n"/>
      <c r="G40" s="48" t="n"/>
      <c r="H40" s="48" t="n"/>
      <c r="I40" s="10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108" t="inlineStr">
        <is>
          <t>________________</t>
        </is>
      </c>
      <c r="B41" s="59" t="n"/>
      <c r="C41" s="59" t="n"/>
      <c r="D41" s="59" t="n"/>
      <c r="E41" s="48" t="n"/>
      <c r="F41" s="48" t="n"/>
      <c r="G41" s="48" t="n"/>
      <c r="H41" s="48" t="n"/>
      <c r="I41" s="108" t="inlineStr">
        <is>
          <t>________________</t>
        </is>
      </c>
      <c r="J41" s="59" t="n"/>
      <c r="K41" s="59" t="n"/>
      <c r="L41" s="59" t="n"/>
      <c r="M41" s="59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109" t="n"/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  <c r="L1" s="109" t="n"/>
      <c r="M1" s="109" t="n"/>
    </row>
    <row r="2" ht="18" customHeight="1">
      <c r="A2" s="110" t="n"/>
      <c r="B2" s="111" t="inlineStr">
        <is>
          <t>اليوم</t>
        </is>
      </c>
      <c r="C2" s="112" t="n"/>
      <c r="D2" s="113" t="inlineStr">
        <is>
          <t>التقرير اليومي لصندوق شركة بدور بغداد</t>
        </is>
      </c>
      <c r="E2" s="114" t="n"/>
      <c r="F2" s="114" t="n"/>
      <c r="G2" s="114" t="n"/>
      <c r="H2" s="114" t="n"/>
      <c r="I2" s="114" t="n"/>
      <c r="J2" s="115" t="n"/>
      <c r="K2" s="116" t="n"/>
      <c r="L2" s="117" t="n"/>
      <c r="M2" s="118" t="n"/>
    </row>
    <row r="3" ht="18" customHeight="1">
      <c r="A3" s="110" t="n"/>
      <c r="B3" s="111" t="inlineStr">
        <is>
          <t>التاريخ</t>
        </is>
      </c>
      <c r="C3" s="112" t="n"/>
      <c r="D3" s="119" t="n"/>
      <c r="E3" s="59" t="n"/>
      <c r="F3" s="59" t="n"/>
      <c r="G3" s="59" t="n"/>
      <c r="H3" s="59" t="n"/>
      <c r="I3" s="59" t="n"/>
      <c r="J3" s="120" t="n"/>
      <c r="K3" s="121" t="n"/>
      <c r="L3" s="59" t="n"/>
      <c r="M3" s="122" t="n"/>
    </row>
    <row r="4" ht="18" customHeight="1">
      <c r="A4" s="110" t="n"/>
      <c r="B4" s="111" t="inlineStr">
        <is>
          <t>أمين الصندوق</t>
        </is>
      </c>
      <c r="C4" s="112" t="n"/>
      <c r="D4" s="119" t="n"/>
      <c r="E4" s="59" t="n"/>
      <c r="F4" s="59" t="n"/>
      <c r="G4" s="59" t="n"/>
      <c r="H4" s="59" t="n"/>
      <c r="I4" s="59" t="n"/>
      <c r="J4" s="120" t="n"/>
      <c r="K4" s="121" t="n"/>
      <c r="L4" s="59" t="n"/>
      <c r="M4" s="122" t="n"/>
    </row>
    <row r="5" ht="18" customHeight="1">
      <c r="A5" s="110" t="n"/>
      <c r="B5" s="111" t="inlineStr">
        <is>
          <t>سلم التقرير</t>
        </is>
      </c>
      <c r="C5" s="112" t="n"/>
      <c r="D5" s="123" t="n"/>
      <c r="E5" s="124" t="n"/>
      <c r="F5" s="124" t="n"/>
      <c r="G5" s="124" t="n"/>
      <c r="H5" s="124" t="n"/>
      <c r="I5" s="124" t="n"/>
      <c r="J5" s="125" t="n"/>
      <c r="K5" s="121" t="n"/>
      <c r="L5" s="59" t="n"/>
      <c r="M5" s="122" t="n"/>
    </row>
    <row r="6" ht="18" customHeight="1">
      <c r="A6" s="110" t="n"/>
      <c r="B6" s="111" t="inlineStr">
        <is>
          <t>اسم صندوق اليوم</t>
        </is>
      </c>
      <c r="C6" s="126" t="inlineStr">
        <is>
          <t>شركة بدور بغداد</t>
        </is>
      </c>
      <c r="D6" s="110" t="n"/>
      <c r="E6" s="127" t="n"/>
      <c r="F6" s="127" t="n"/>
      <c r="G6" s="127" t="n"/>
      <c r="H6" s="127" t="n"/>
      <c r="I6" s="127" t="n"/>
      <c r="J6" s="128" t="n"/>
      <c r="K6" s="121" t="n"/>
      <c r="L6" s="59" t="n"/>
      <c r="M6" s="122" t="n"/>
    </row>
    <row r="7" ht="18" customHeight="1">
      <c r="A7" s="110" t="n"/>
      <c r="B7" s="111" t="inlineStr">
        <is>
          <t>الرصيد السابق - دينار</t>
        </is>
      </c>
      <c r="C7" s="129" t="n">
        <v>0</v>
      </c>
      <c r="D7" s="130" t="n"/>
      <c r="E7" s="59" t="n"/>
      <c r="F7" s="59" t="n"/>
      <c r="G7" s="59" t="n"/>
      <c r="H7" s="59" t="n"/>
      <c r="I7" s="59" t="n"/>
      <c r="J7" s="131" t="n"/>
      <c r="K7" s="121" t="n"/>
      <c r="L7" s="59" t="n"/>
      <c r="M7" s="122" t="n"/>
    </row>
    <row r="8" ht="18" customHeight="1">
      <c r="A8" s="110" t="n"/>
      <c r="B8" s="111" t="inlineStr">
        <is>
          <t>الرصيد السابق - دولار</t>
        </is>
      </c>
      <c r="C8" s="132" t="n">
        <v>0</v>
      </c>
      <c r="D8" s="133" t="n"/>
      <c r="E8" s="134" t="n"/>
      <c r="F8" s="134" t="n"/>
      <c r="G8" s="134" t="n"/>
      <c r="H8" s="134" t="n"/>
      <c r="I8" s="134" t="n"/>
      <c r="J8" s="135" t="n"/>
      <c r="K8" s="136" t="n"/>
      <c r="L8" s="137" t="n"/>
      <c r="M8" s="138" t="n"/>
    </row>
    <row r="9" ht="5" customHeight="1">
      <c r="A9" s="109" t="n"/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</row>
    <row r="10" ht="20" customHeight="1">
      <c r="A10" s="139" t="inlineStr">
        <is>
          <t>ت</t>
        </is>
      </c>
      <c r="B10" s="140" t="inlineStr">
        <is>
          <t>التفاصيل</t>
        </is>
      </c>
      <c r="C10" s="140" t="inlineStr">
        <is>
          <t>صندوق - الدينار</t>
        </is>
      </c>
      <c r="D10" s="141" t="n"/>
      <c r="E10" s="140" t="inlineStr">
        <is>
          <t>صندوق - الدولار</t>
        </is>
      </c>
      <c r="F10" s="141" t="n"/>
      <c r="G10" s="142" t="inlineStr">
        <is>
          <t>رقم المستند</t>
        </is>
      </c>
      <c r="H10" s="142" t="inlineStr">
        <is>
          <t>اسم الحساب العميل</t>
        </is>
      </c>
      <c r="I10" s="142" t="inlineStr">
        <is>
          <t>رقم الحركة المالية</t>
        </is>
      </c>
      <c r="J10" s="140" t="inlineStr">
        <is>
          <t>المستندات</t>
        </is>
      </c>
      <c r="K10" s="143" t="n"/>
      <c r="L10" s="141" t="n"/>
      <c r="M10" s="142" t="inlineStr">
        <is>
          <t>التفاصيل</t>
        </is>
      </c>
    </row>
    <row r="11" ht="18" customHeight="1">
      <c r="A11" s="144" t="n"/>
      <c r="B11" s="144" t="n"/>
      <c r="C11" s="145" t="inlineStr">
        <is>
          <t>متنوعات</t>
        </is>
      </c>
      <c r="D11" s="145" t="inlineStr">
        <is>
          <t>مصروفات</t>
        </is>
      </c>
      <c r="E11" s="145" t="inlineStr">
        <is>
          <t>متنوعات</t>
        </is>
      </c>
      <c r="F11" s="145" t="inlineStr">
        <is>
          <t>مصروفات</t>
        </is>
      </c>
      <c r="G11" s="144" t="n"/>
      <c r="H11" s="144" t="n"/>
      <c r="I11" s="144" t="n"/>
      <c r="J11" s="145" t="inlineStr">
        <is>
          <t>نوع المستند</t>
        </is>
      </c>
      <c r="K11" s="145" t="inlineStr">
        <is>
          <t>تسلسل</t>
        </is>
      </c>
      <c r="L11" s="145" t="inlineStr">
        <is>
          <t>رقم المستند</t>
        </is>
      </c>
      <c r="M11" s="144" t="n"/>
    </row>
    <row r="12" ht="17" customHeight="1">
      <c r="A12" s="146" t="n">
        <v>1</v>
      </c>
      <c r="B12" s="146" t="n"/>
      <c r="C12" s="147" t="n"/>
      <c r="D12" s="147" t="n"/>
      <c r="E12" s="147" t="n"/>
      <c r="F12" s="147" t="n"/>
      <c r="G12" s="146" t="n"/>
      <c r="H12" s="146" t="n"/>
      <c r="I12" s="146" t="n"/>
      <c r="J12" s="146" t="n"/>
      <c r="K12" s="146" t="n"/>
      <c r="L12" s="146" t="n"/>
      <c r="M12" s="146" t="n"/>
    </row>
    <row r="13" ht="17" customHeight="1">
      <c r="A13" s="146" t="n">
        <v>2</v>
      </c>
      <c r="B13" s="146" t="n"/>
      <c r="C13" s="147" t="n"/>
      <c r="D13" s="147" t="n"/>
      <c r="E13" s="147" t="n"/>
      <c r="F13" s="147" t="n"/>
      <c r="G13" s="146" t="n"/>
      <c r="H13" s="146" t="n"/>
      <c r="I13" s="146" t="n"/>
      <c r="J13" s="146" t="n"/>
      <c r="K13" s="146" t="n"/>
      <c r="L13" s="146" t="n"/>
      <c r="M13" s="146" t="n"/>
    </row>
    <row r="14" ht="17" customHeight="1">
      <c r="A14" s="146" t="n">
        <v>3</v>
      </c>
      <c r="B14" s="146" t="n"/>
      <c r="C14" s="147" t="n"/>
      <c r="D14" s="147" t="n"/>
      <c r="E14" s="147" t="n"/>
      <c r="F14" s="147" t="n"/>
      <c r="G14" s="146" t="n"/>
      <c r="H14" s="146" t="n"/>
      <c r="I14" s="146" t="n"/>
      <c r="J14" s="146" t="n"/>
      <c r="K14" s="146" t="n"/>
      <c r="L14" s="146" t="n"/>
      <c r="M14" s="146" t="n"/>
    </row>
    <row r="15" ht="17" customHeight="1">
      <c r="A15" s="146" t="n">
        <v>4</v>
      </c>
      <c r="B15" s="146" t="n"/>
      <c r="C15" s="147" t="n"/>
      <c r="D15" s="147" t="n"/>
      <c r="E15" s="147" t="n"/>
      <c r="F15" s="147" t="n"/>
      <c r="G15" s="146" t="n"/>
      <c r="H15" s="146" t="n"/>
      <c r="I15" s="146" t="n"/>
      <c r="J15" s="146" t="n"/>
      <c r="K15" s="146" t="n"/>
      <c r="L15" s="146" t="n"/>
      <c r="M15" s="146" t="n"/>
    </row>
    <row r="16" ht="17" customHeight="1">
      <c r="A16" s="146" t="n">
        <v>5</v>
      </c>
      <c r="B16" s="146" t="n"/>
      <c r="C16" s="147" t="n"/>
      <c r="D16" s="147" t="n"/>
      <c r="E16" s="147" t="n"/>
      <c r="F16" s="147" t="n"/>
      <c r="G16" s="146" t="n"/>
      <c r="H16" s="146" t="n"/>
      <c r="I16" s="146" t="n"/>
      <c r="J16" s="146" t="n"/>
      <c r="K16" s="146" t="n"/>
      <c r="L16" s="146" t="n"/>
      <c r="M16" s="146" t="n"/>
    </row>
    <row r="17" ht="17" customHeight="1">
      <c r="A17" s="146" t="n">
        <v>6</v>
      </c>
      <c r="B17" s="146" t="n"/>
      <c r="C17" s="147" t="n"/>
      <c r="D17" s="147" t="n"/>
      <c r="E17" s="147" t="n"/>
      <c r="F17" s="147" t="n"/>
      <c r="G17" s="146" t="n"/>
      <c r="H17" s="146" t="n"/>
      <c r="I17" s="146" t="n"/>
      <c r="J17" s="146" t="n"/>
      <c r="K17" s="146" t="n"/>
      <c r="L17" s="146" t="n"/>
      <c r="M17" s="146" t="n"/>
    </row>
    <row r="18" ht="17" customHeight="1">
      <c r="A18" s="146" t="n">
        <v>7</v>
      </c>
      <c r="B18" s="146" t="n"/>
      <c r="C18" s="147" t="n"/>
      <c r="D18" s="147" t="n"/>
      <c r="E18" s="147" t="n"/>
      <c r="F18" s="147" t="n"/>
      <c r="G18" s="146" t="n"/>
      <c r="H18" s="146" t="n"/>
      <c r="I18" s="146" t="n"/>
      <c r="J18" s="146" t="n"/>
      <c r="K18" s="146" t="n"/>
      <c r="L18" s="146" t="n"/>
      <c r="M18" s="146" t="n"/>
    </row>
    <row r="19" ht="17" customHeight="1">
      <c r="A19" s="146" t="n">
        <v>8</v>
      </c>
      <c r="B19" s="146" t="n"/>
      <c r="C19" s="147" t="n"/>
      <c r="D19" s="147" t="n"/>
      <c r="E19" s="147" t="n"/>
      <c r="F19" s="147" t="n"/>
      <c r="G19" s="146" t="n"/>
      <c r="H19" s="146" t="n"/>
      <c r="I19" s="146" t="n"/>
      <c r="J19" s="146" t="n"/>
      <c r="K19" s="146" t="n"/>
      <c r="L19" s="146" t="n"/>
      <c r="M19" s="146" t="n"/>
    </row>
    <row r="20" ht="17" customHeight="1">
      <c r="A20" s="146" t="n">
        <v>9</v>
      </c>
      <c r="B20" s="146" t="n"/>
      <c r="C20" s="147" t="n"/>
      <c r="D20" s="147" t="n"/>
      <c r="E20" s="147" t="n"/>
      <c r="F20" s="147" t="n"/>
      <c r="G20" s="146" t="n"/>
      <c r="H20" s="146" t="n"/>
      <c r="I20" s="146" t="n"/>
      <c r="J20" s="146" t="n"/>
      <c r="K20" s="146" t="n"/>
      <c r="L20" s="146" t="n"/>
      <c r="M20" s="146" t="n"/>
    </row>
    <row r="21" ht="17" customHeight="1">
      <c r="A21" s="146" t="n">
        <v>10</v>
      </c>
      <c r="B21" s="146" t="n"/>
      <c r="C21" s="147" t="n"/>
      <c r="D21" s="147" t="n"/>
      <c r="E21" s="147" t="n"/>
      <c r="F21" s="147" t="n"/>
      <c r="G21" s="146" t="n"/>
      <c r="H21" s="146" t="n"/>
      <c r="I21" s="146" t="n"/>
      <c r="J21" s="146" t="n"/>
      <c r="K21" s="146" t="n"/>
      <c r="L21" s="146" t="n"/>
      <c r="M21" s="146" t="n"/>
    </row>
    <row r="22" ht="17" customHeight="1">
      <c r="A22" s="146" t="n">
        <v>11</v>
      </c>
      <c r="B22" s="146" t="n"/>
      <c r="C22" s="147" t="n"/>
      <c r="D22" s="147" t="n"/>
      <c r="E22" s="147" t="n"/>
      <c r="F22" s="147" t="n"/>
      <c r="G22" s="146" t="n"/>
      <c r="H22" s="146" t="n"/>
      <c r="I22" s="146" t="n"/>
      <c r="J22" s="146" t="n"/>
      <c r="K22" s="146" t="n"/>
      <c r="L22" s="146" t="n"/>
      <c r="M22" s="146" t="n"/>
    </row>
    <row r="23" ht="20" customHeight="1">
      <c r="A23" s="139" t="inlineStr">
        <is>
          <t>المجموع</t>
        </is>
      </c>
      <c r="B23" s="141" t="n"/>
      <c r="C23" s="148">
        <f>SUM(C12:C22)</f>
        <v/>
      </c>
      <c r="D23" s="149">
        <f>SUM(D12:D22)</f>
        <v/>
      </c>
      <c r="E23" s="148">
        <f>SUM(E12:E22)</f>
        <v/>
      </c>
      <c r="F23" s="149">
        <f>SUM(F12:F22)</f>
        <v/>
      </c>
      <c r="G23" s="150" t="n"/>
      <c r="H23" s="150" t="n"/>
      <c r="I23" s="150" t="n"/>
      <c r="J23" s="150" t="n"/>
      <c r="K23" s="150" t="n"/>
      <c r="L23" s="150" t="n"/>
      <c r="M23" s="150" t="n"/>
    </row>
    <row r="24" ht="20" customHeight="1">
      <c r="A24" s="151" t="inlineStr">
        <is>
          <t>الرصيد</t>
        </is>
      </c>
      <c r="B24" s="141" t="n"/>
      <c r="C24" s="152">
        <f>C7+C23-D23</f>
        <v/>
      </c>
      <c r="D24" s="141" t="n"/>
      <c r="E24" s="152">
        <f>C8+E23-F23</f>
        <v/>
      </c>
      <c r="F24" s="141" t="n"/>
      <c r="G24" s="153" t="n"/>
      <c r="H24" s="153" t="n"/>
      <c r="I24" s="153" t="n"/>
      <c r="J24" s="153" t="n"/>
      <c r="K24" s="153" t="n"/>
      <c r="L24" s="153" t="n"/>
      <c r="M24" s="153" t="n"/>
    </row>
    <row r="25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  <c r="M25" s="109" t="n"/>
    </row>
    <row r="26" ht="17" customHeight="1">
      <c r="A26" s="154" t="inlineStr">
        <is>
          <t>الرصيد الحالي - دينار</t>
        </is>
      </c>
      <c r="B26" s="141" t="n"/>
      <c r="C26" s="155">
        <f>C24</f>
        <v/>
      </c>
      <c r="D26" s="156" t="inlineStr">
        <is>
          <t xml:space="preserve">      الرصيد الحالي</t>
        </is>
      </c>
      <c r="E26" s="157" t="n"/>
      <c r="F26" s="158" t="n"/>
      <c r="G26" s="156" t="inlineStr">
        <is>
          <t xml:space="preserve">      مجموع الاستيرادات</t>
        </is>
      </c>
      <c r="H26" s="157" t="n"/>
      <c r="I26" s="158" t="n"/>
      <c r="J26" s="156" t="inlineStr">
        <is>
          <t xml:space="preserve">      مجموع المصروفات والسحوبات</t>
        </is>
      </c>
      <c r="K26" s="157" t="n"/>
      <c r="L26" s="158" t="n"/>
      <c r="M26" s="109" t="n"/>
    </row>
    <row r="27" ht="26" customHeight="1">
      <c r="A27" s="154" t="inlineStr">
        <is>
          <t>الرصيد الحالي - دولار</t>
        </is>
      </c>
      <c r="B27" s="141" t="n"/>
      <c r="C27" s="159">
        <f>E24</f>
        <v/>
      </c>
      <c r="D27" s="160">
        <f>C24</f>
        <v/>
      </c>
      <c r="E27" s="157" t="n"/>
      <c r="F27" s="158" t="n"/>
      <c r="G27" s="161">
        <f>C23+E23</f>
        <v/>
      </c>
      <c r="H27" s="157" t="n"/>
      <c r="I27" s="158" t="n"/>
      <c r="J27" s="162">
        <f>D23+F23</f>
        <v/>
      </c>
      <c r="K27" s="157" t="n"/>
      <c r="L27" s="158" t="n"/>
      <c r="M27" s="109" t="n"/>
    </row>
    <row r="28" ht="16" customHeight="1">
      <c r="A28" s="109" t="n"/>
      <c r="B28" s="109" t="n"/>
      <c r="C28" s="109" t="n"/>
      <c r="D28" s="140" t="inlineStr">
        <is>
          <t>الرصيد الحالي = مجموع الاستيرادات − مجموع المصروفات والسحوبات</t>
        </is>
      </c>
      <c r="E28" s="143" t="n"/>
      <c r="F28" s="143" t="n"/>
      <c r="G28" s="143" t="n"/>
      <c r="H28" s="143" t="n"/>
      <c r="I28" s="143" t="n"/>
      <c r="J28" s="143" t="n"/>
      <c r="K28" s="143" t="n"/>
      <c r="L28" s="141" t="n"/>
      <c r="M28" s="109" t="n"/>
    </row>
    <row r="29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</row>
    <row r="30" ht="20" customHeight="1">
      <c r="A30" s="163" t="inlineStr">
        <is>
          <t xml:space="preserve">      ملخص الوصولات</t>
        </is>
      </c>
      <c r="B30" s="143" t="n"/>
      <c r="C30" s="143" t="n"/>
      <c r="D30" s="143" t="n"/>
      <c r="E30" s="143" t="n"/>
      <c r="F30" s="141" t="n"/>
      <c r="G30" s="109" t="n"/>
      <c r="H30" s="163" t="inlineStr">
        <is>
          <t xml:space="preserve">      ملاحظات أمين الصندوق</t>
        </is>
      </c>
      <c r="I30" s="143" t="n"/>
      <c r="J30" s="143" t="n"/>
      <c r="K30" s="143" t="n"/>
      <c r="L30" s="143" t="n"/>
      <c r="M30" s="141" t="n"/>
    </row>
    <row r="31" ht="17" customHeight="1">
      <c r="A31" s="142" t="inlineStr">
        <is>
          <t>ت</t>
        </is>
      </c>
      <c r="B31" s="142" t="inlineStr">
        <is>
          <t>تفاصيل</t>
        </is>
      </c>
      <c r="C31" s="142" t="inlineStr">
        <is>
          <t>العدد</t>
        </is>
      </c>
      <c r="D31" s="142" t="inlineStr">
        <is>
          <t>المجموع</t>
        </is>
      </c>
      <c r="E31" s="150" t="n"/>
      <c r="F31" s="150" t="n"/>
      <c r="G31" s="109" t="n"/>
      <c r="H31" s="164" t="inlineStr">
        <is>
          <t>·  ·  ·  ·  ·  ·  ·  ·  ·  ·  ·  ·  ·  ·  ·  ·  ·  ·  ·  ·  ·  ·  ·  ·</t>
        </is>
      </c>
      <c r="I31" s="143" t="n"/>
      <c r="J31" s="143" t="n"/>
      <c r="K31" s="143" t="n"/>
      <c r="L31" s="143" t="n"/>
      <c r="M31" s="141" t="n"/>
    </row>
    <row r="32" ht="16" customHeight="1">
      <c r="A32" s="112" t="n">
        <v>1</v>
      </c>
      <c r="B32" s="112" t="inlineStr">
        <is>
          <t>وصل قبض</t>
        </is>
      </c>
      <c r="C32" s="112">
        <f>COUNTIF(J12:J22,"قبض")</f>
        <v/>
      </c>
      <c r="D32" s="165">
        <f>C23</f>
        <v/>
      </c>
      <c r="E32" s="112" t="n"/>
      <c r="F32" s="112" t="n"/>
      <c r="G32" s="109" t="n"/>
      <c r="H32" s="164" t="inlineStr">
        <is>
          <t>·  ·  ·  ·  ·  ·  ·  ·  ·  ·  ·  ·  ·  ·  ·  ·  ·  ·  ·  ·  ·  ·  ·  ·</t>
        </is>
      </c>
      <c r="I32" s="143" t="n"/>
      <c r="J32" s="143" t="n"/>
      <c r="K32" s="143" t="n"/>
      <c r="L32" s="143" t="n"/>
      <c r="M32" s="141" t="n"/>
    </row>
    <row r="33" ht="16" customHeight="1">
      <c r="A33" s="112" t="n">
        <v>2</v>
      </c>
      <c r="B33" s="112" t="inlineStr">
        <is>
          <t>قبض مصروف</t>
        </is>
      </c>
      <c r="C33" s="112">
        <f>COUNTIF(J12:J22,"مصروف")</f>
        <v/>
      </c>
      <c r="D33" s="166" t="n">
        <v>0</v>
      </c>
      <c r="E33" s="112" t="n"/>
      <c r="F33" s="112" t="n"/>
      <c r="G33" s="109" t="n"/>
      <c r="H33" s="164" t="inlineStr">
        <is>
          <t>·  ·  ·  ·  ·  ·  ·  ·  ·  ·  ·  ·  ·  ·  ·  ·  ·  ·  ·  ·  ·  ·  ·  ·</t>
        </is>
      </c>
      <c r="I33" s="143" t="n"/>
      <c r="J33" s="143" t="n"/>
      <c r="K33" s="143" t="n"/>
      <c r="L33" s="143" t="n"/>
      <c r="M33" s="141" t="n"/>
    </row>
    <row r="34" ht="16" customHeight="1">
      <c r="A34" s="112" t="n">
        <v>3</v>
      </c>
      <c r="B34" s="112" t="inlineStr">
        <is>
          <t>وصل صرف</t>
        </is>
      </c>
      <c r="C34" s="112">
        <f>COUNTIF(J12:J22,"صرف")</f>
        <v/>
      </c>
      <c r="D34" s="166">
        <f>D23</f>
        <v/>
      </c>
      <c r="E34" s="112" t="n"/>
      <c r="F34" s="112" t="n"/>
      <c r="G34" s="109" t="n"/>
      <c r="H34" s="164" t="inlineStr">
        <is>
          <t>·  ·  ·  ·  ·  ·  ·  ·  ·  ·  ·  ·  ·  ·  ·  ·  ·  ·  ·  ·  ·  ·  ·  ·</t>
        </is>
      </c>
      <c r="I34" s="143" t="n"/>
      <c r="J34" s="143" t="n"/>
      <c r="K34" s="143" t="n"/>
      <c r="L34" s="143" t="n"/>
      <c r="M34" s="141" t="n"/>
    </row>
    <row r="35" ht="16" customHeight="1">
      <c r="A35" s="112" t="n">
        <v>4</v>
      </c>
      <c r="B35" s="112" t="inlineStr">
        <is>
          <t>صرف مصرفي</t>
        </is>
      </c>
      <c r="C35" s="112" t="n">
        <v>0</v>
      </c>
      <c r="D35" s="166" t="n">
        <v>0</v>
      </c>
      <c r="E35" s="112" t="n"/>
      <c r="F35" s="112" t="n"/>
      <c r="G35" s="109" t="n"/>
      <c r="H35" s="164" t="inlineStr">
        <is>
          <t>·  ·  ·  ·  ·  ·  ·  ·  ·  ·  ·  ·  ·  ·  ·  ·  ·  ·  ·  ·  ·  ·  ·  ·</t>
        </is>
      </c>
      <c r="I35" s="143" t="n"/>
      <c r="J35" s="143" t="n"/>
      <c r="K35" s="143" t="n"/>
      <c r="L35" s="143" t="n"/>
      <c r="M35" s="141" t="n"/>
    </row>
    <row r="36" ht="16" customHeight="1">
      <c r="A36" s="112" t="n">
        <v>5</v>
      </c>
      <c r="B36" s="112" t="inlineStr">
        <is>
          <t>وصلات ملغاة</t>
        </is>
      </c>
      <c r="C36" s="112" t="n">
        <v>0</v>
      </c>
      <c r="D36" s="166" t="n">
        <v>0</v>
      </c>
      <c r="E36" s="112" t="n"/>
      <c r="F36" s="112" t="n"/>
      <c r="G36" s="109" t="n"/>
      <c r="H36" s="164" t="inlineStr">
        <is>
          <t>·  ·  ·  ·  ·  ·  ·  ·  ·  ·  ·  ·  ·  ·  ·  ·  ·  ·  ·  ·  ·  ·  ·  ·</t>
        </is>
      </c>
      <c r="I36" s="143" t="n"/>
      <c r="J36" s="143" t="n"/>
      <c r="K36" s="143" t="n"/>
      <c r="L36" s="143" t="n"/>
      <c r="M36" s="141" t="n"/>
    </row>
    <row r="37" ht="16" customHeight="1">
      <c r="A37" s="112" t="n">
        <v>6</v>
      </c>
      <c r="B37" s="112" t="inlineStr">
        <is>
          <t>وصلات باطلة</t>
        </is>
      </c>
      <c r="C37" s="112" t="n">
        <v>0</v>
      </c>
      <c r="D37" s="166" t="n">
        <v>0</v>
      </c>
      <c r="E37" s="112" t="n"/>
      <c r="F37" s="112" t="n"/>
      <c r="G37" s="109" t="n"/>
      <c r="H37" s="164" t="inlineStr">
        <is>
          <t>·  ·  ·  ·  ·  ·  ·  ·  ·  ·  ·  ·  ·  ·  ·  ·  ·  ·  ·  ·  ·  ·  ·  ·</t>
        </is>
      </c>
      <c r="I37" s="143" t="n"/>
      <c r="J37" s="143" t="n"/>
      <c r="K37" s="143" t="n"/>
      <c r="L37" s="143" t="n"/>
      <c r="M37" s="141" t="n"/>
    </row>
    <row r="38" ht="17" customHeight="1">
      <c r="A38" s="140" t="inlineStr">
        <is>
          <t>إجمالي الوصولات</t>
        </is>
      </c>
      <c r="B38" s="141" t="n"/>
      <c r="C38" s="140">
        <f>C32+C33+C34+C35+C36+C37</f>
        <v/>
      </c>
      <c r="D38" s="110" t="inlineStr"/>
      <c r="E38" s="150" t="n"/>
      <c r="F38" s="150" t="n"/>
      <c r="G38" s="109" t="n"/>
      <c r="H38" s="109" t="n"/>
      <c r="I38" s="109" t="n"/>
      <c r="J38" s="109" t="n"/>
      <c r="K38" s="109" t="n"/>
      <c r="L38" s="109" t="n"/>
      <c r="M38" s="109" t="n"/>
    </row>
    <row r="39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  <c r="L39" s="109" t="n"/>
      <c r="M39" s="109" t="n"/>
    </row>
    <row r="40" ht="16" customHeight="1">
      <c r="A40" s="167" t="inlineStr">
        <is>
          <t>أمين الصندوق</t>
        </is>
      </c>
      <c r="B40" s="59" t="n"/>
      <c r="C40" s="59" t="n"/>
      <c r="D40" s="59" t="n"/>
      <c r="E40" s="109" t="n"/>
      <c r="F40" s="109" t="n"/>
      <c r="G40" s="109" t="n"/>
      <c r="H40" s="109" t="n"/>
      <c r="I40" s="16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168" t="inlineStr">
        <is>
          <t>________________</t>
        </is>
      </c>
      <c r="B41" s="59" t="n"/>
      <c r="C41" s="59" t="n"/>
      <c r="D41" s="59" t="n"/>
      <c r="E41" s="109" t="n"/>
      <c r="F41" s="109" t="n"/>
      <c r="G41" s="109" t="n"/>
      <c r="H41" s="109" t="n"/>
      <c r="I41" s="168" t="inlineStr">
        <is>
          <t>________________</t>
        </is>
      </c>
      <c r="J41" s="59" t="n"/>
      <c r="K41" s="59" t="n"/>
      <c r="L41" s="59" t="n"/>
      <c r="M41" s="59" t="n"/>
    </row>
    <row r="42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109" t="n"/>
    </row>
    <row r="43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  <c r="L43" s="109" t="n"/>
      <c r="M43" s="109" t="n"/>
    </row>
    <row r="44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  <c r="L44" s="109" t="n"/>
      <c r="M44" s="109" t="n"/>
    </row>
    <row r="45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  <c r="L45" s="109" t="n"/>
      <c r="M45" s="109" t="n"/>
    </row>
    <row r="46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  <c r="L46" s="109" t="n"/>
      <c r="M46" s="109" t="n"/>
    </row>
    <row r="47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  <c r="L47" s="109" t="n"/>
      <c r="M47" s="109" t="n"/>
    </row>
    <row r="4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</row>
    <row r="49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109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109" t="n"/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  <c r="L1" s="109" t="n"/>
      <c r="M1" s="109" t="n"/>
    </row>
    <row r="2" ht="18" customHeight="1">
      <c r="A2" s="110" t="n"/>
      <c r="B2" s="111" t="inlineStr">
        <is>
          <t>اليوم</t>
        </is>
      </c>
      <c r="C2" s="112" t="n"/>
      <c r="D2" s="113" t="inlineStr">
        <is>
          <t>التقرير اليومي لصندوق بدور بغداد - صندوق امانات مصرف الستشار</t>
        </is>
      </c>
      <c r="E2" s="114" t="n"/>
      <c r="F2" s="114" t="n"/>
      <c r="G2" s="114" t="n"/>
      <c r="H2" s="114" t="n"/>
      <c r="I2" s="114" t="n"/>
      <c r="J2" s="115" t="n"/>
      <c r="K2" s="116" t="n"/>
      <c r="L2" s="117" t="n"/>
      <c r="M2" s="118" t="n"/>
    </row>
    <row r="3" ht="18" customHeight="1">
      <c r="A3" s="110" t="n"/>
      <c r="B3" s="111" t="inlineStr">
        <is>
          <t>التاريخ</t>
        </is>
      </c>
      <c r="C3" s="112" t="n"/>
      <c r="D3" s="119" t="n"/>
      <c r="E3" s="59" t="n"/>
      <c r="F3" s="59" t="n"/>
      <c r="G3" s="59" t="n"/>
      <c r="H3" s="59" t="n"/>
      <c r="I3" s="59" t="n"/>
      <c r="J3" s="120" t="n"/>
      <c r="K3" s="121" t="n"/>
      <c r="L3" s="59" t="n"/>
      <c r="M3" s="122" t="n"/>
    </row>
    <row r="4" ht="18" customHeight="1">
      <c r="A4" s="110" t="n"/>
      <c r="B4" s="111" t="inlineStr">
        <is>
          <t>أمين الصندوق</t>
        </is>
      </c>
      <c r="C4" s="112" t="n"/>
      <c r="D4" s="119" t="n"/>
      <c r="E4" s="59" t="n"/>
      <c r="F4" s="59" t="n"/>
      <c r="G4" s="59" t="n"/>
      <c r="H4" s="59" t="n"/>
      <c r="I4" s="59" t="n"/>
      <c r="J4" s="120" t="n"/>
      <c r="K4" s="121" t="n"/>
      <c r="L4" s="59" t="n"/>
      <c r="M4" s="122" t="n"/>
    </row>
    <row r="5" ht="18" customHeight="1">
      <c r="A5" s="110" t="n"/>
      <c r="B5" s="111" t="inlineStr">
        <is>
          <t>سلم التقرير</t>
        </is>
      </c>
      <c r="C5" s="112" t="n"/>
      <c r="D5" s="123" t="n"/>
      <c r="E5" s="124" t="n"/>
      <c r="F5" s="124" t="n"/>
      <c r="G5" s="124" t="n"/>
      <c r="H5" s="124" t="n"/>
      <c r="I5" s="124" t="n"/>
      <c r="J5" s="125" t="n"/>
      <c r="K5" s="121" t="n"/>
      <c r="L5" s="59" t="n"/>
      <c r="M5" s="122" t="n"/>
    </row>
    <row r="6" ht="18" customHeight="1">
      <c r="A6" s="110" t="n"/>
      <c r="B6" s="111" t="inlineStr">
        <is>
          <t>اسم صندوق اليوم</t>
        </is>
      </c>
      <c r="C6" s="126" t="inlineStr">
        <is>
          <t>بدور بغداد - صندوق امانات مصرف الستشار</t>
        </is>
      </c>
      <c r="D6" s="110" t="n"/>
      <c r="E6" s="127" t="n"/>
      <c r="F6" s="127" t="n"/>
      <c r="G6" s="127" t="n"/>
      <c r="H6" s="127" t="n"/>
      <c r="I6" s="127" t="n"/>
      <c r="J6" s="128" t="n"/>
      <c r="K6" s="121" t="n"/>
      <c r="L6" s="59" t="n"/>
      <c r="M6" s="122" t="n"/>
    </row>
    <row r="7" ht="18" customHeight="1">
      <c r="A7" s="110" t="n"/>
      <c r="B7" s="111" t="inlineStr">
        <is>
          <t>الرصيد السابق - دينار</t>
        </is>
      </c>
      <c r="C7" s="129" t="n">
        <v>0</v>
      </c>
      <c r="D7" s="130" t="n"/>
      <c r="E7" s="59" t="n"/>
      <c r="F7" s="59" t="n"/>
      <c r="G7" s="59" t="n"/>
      <c r="H7" s="59" t="n"/>
      <c r="I7" s="59" t="n"/>
      <c r="J7" s="131" t="n"/>
      <c r="K7" s="121" t="n"/>
      <c r="L7" s="59" t="n"/>
      <c r="M7" s="122" t="n"/>
    </row>
    <row r="8" ht="18" customHeight="1">
      <c r="A8" s="110" t="n"/>
      <c r="B8" s="111" t="inlineStr">
        <is>
          <t>الرصيد السابق - دولار</t>
        </is>
      </c>
      <c r="C8" s="132" t="n">
        <v>0</v>
      </c>
      <c r="D8" s="133" t="n"/>
      <c r="E8" s="134" t="n"/>
      <c r="F8" s="134" t="n"/>
      <c r="G8" s="134" t="n"/>
      <c r="H8" s="134" t="n"/>
      <c r="I8" s="134" t="n"/>
      <c r="J8" s="135" t="n"/>
      <c r="K8" s="136" t="n"/>
      <c r="L8" s="137" t="n"/>
      <c r="M8" s="138" t="n"/>
    </row>
    <row r="9" ht="5" customHeight="1">
      <c r="A9" s="109" t="n"/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</row>
    <row r="10" ht="20" customHeight="1">
      <c r="A10" s="139" t="inlineStr">
        <is>
          <t>ت</t>
        </is>
      </c>
      <c r="B10" s="140" t="inlineStr">
        <is>
          <t>التفاصيل</t>
        </is>
      </c>
      <c r="C10" s="140" t="inlineStr">
        <is>
          <t>صندوق - الدينار</t>
        </is>
      </c>
      <c r="D10" s="141" t="n"/>
      <c r="E10" s="140" t="inlineStr">
        <is>
          <t>صندوق - الدولار</t>
        </is>
      </c>
      <c r="F10" s="141" t="n"/>
      <c r="G10" s="142" t="inlineStr">
        <is>
          <t>رقم المستند</t>
        </is>
      </c>
      <c r="H10" s="142" t="inlineStr">
        <is>
          <t>اسم الحساب العميل</t>
        </is>
      </c>
      <c r="I10" s="142" t="inlineStr">
        <is>
          <t>رقم الحركة المالية</t>
        </is>
      </c>
      <c r="J10" s="140" t="inlineStr">
        <is>
          <t>المستندات</t>
        </is>
      </c>
      <c r="K10" s="143" t="n"/>
      <c r="L10" s="141" t="n"/>
      <c r="M10" s="142" t="inlineStr">
        <is>
          <t>التفاصيل</t>
        </is>
      </c>
    </row>
    <row r="11" ht="18" customHeight="1">
      <c r="A11" s="144" t="n"/>
      <c r="B11" s="144" t="n"/>
      <c r="C11" s="145" t="inlineStr">
        <is>
          <t>متنوعات</t>
        </is>
      </c>
      <c r="D11" s="145" t="inlineStr">
        <is>
          <t>مصروفات</t>
        </is>
      </c>
      <c r="E11" s="145" t="inlineStr">
        <is>
          <t>متنوعات</t>
        </is>
      </c>
      <c r="F11" s="145" t="inlineStr">
        <is>
          <t>مصروفات</t>
        </is>
      </c>
      <c r="G11" s="144" t="n"/>
      <c r="H11" s="144" t="n"/>
      <c r="I11" s="144" t="n"/>
      <c r="J11" s="145" t="inlineStr">
        <is>
          <t>نوع المستند</t>
        </is>
      </c>
      <c r="K11" s="145" t="inlineStr">
        <is>
          <t>تسلسل</t>
        </is>
      </c>
      <c r="L11" s="145" t="inlineStr">
        <is>
          <t>رقم المستند</t>
        </is>
      </c>
      <c r="M11" s="144" t="n"/>
    </row>
    <row r="12" ht="17" customHeight="1">
      <c r="A12" s="146" t="n">
        <v>1</v>
      </c>
      <c r="B12" s="146" t="n"/>
      <c r="C12" s="147" t="n"/>
      <c r="D12" s="147" t="n"/>
      <c r="E12" s="147" t="n"/>
      <c r="F12" s="147" t="n"/>
      <c r="G12" s="146" t="n"/>
      <c r="H12" s="146" t="n"/>
      <c r="I12" s="146" t="n"/>
      <c r="J12" s="146" t="n"/>
      <c r="K12" s="146" t="n"/>
      <c r="L12" s="146" t="n"/>
      <c r="M12" s="146" t="n"/>
    </row>
    <row r="13" ht="17" customHeight="1">
      <c r="A13" s="146" t="n">
        <v>2</v>
      </c>
      <c r="B13" s="146" t="n"/>
      <c r="C13" s="147" t="n"/>
      <c r="D13" s="147" t="n"/>
      <c r="E13" s="147" t="n"/>
      <c r="F13" s="147" t="n"/>
      <c r="G13" s="146" t="n"/>
      <c r="H13" s="146" t="n"/>
      <c r="I13" s="146" t="n"/>
      <c r="J13" s="146" t="n"/>
      <c r="K13" s="146" t="n"/>
      <c r="L13" s="146" t="n"/>
      <c r="M13" s="146" t="n"/>
    </row>
    <row r="14" ht="17" customHeight="1">
      <c r="A14" s="146" t="n">
        <v>3</v>
      </c>
      <c r="B14" s="146" t="n"/>
      <c r="C14" s="147" t="n"/>
      <c r="D14" s="147" t="n"/>
      <c r="E14" s="147" t="n"/>
      <c r="F14" s="147" t="n"/>
      <c r="G14" s="146" t="n"/>
      <c r="H14" s="146" t="n"/>
      <c r="I14" s="146" t="n"/>
      <c r="J14" s="146" t="n"/>
      <c r="K14" s="146" t="n"/>
      <c r="L14" s="146" t="n"/>
      <c r="M14" s="146" t="n"/>
    </row>
    <row r="15" ht="17" customHeight="1">
      <c r="A15" s="146" t="n">
        <v>4</v>
      </c>
      <c r="B15" s="146" t="n"/>
      <c r="C15" s="147" t="n"/>
      <c r="D15" s="147" t="n"/>
      <c r="E15" s="147" t="n"/>
      <c r="F15" s="147" t="n"/>
      <c r="G15" s="146" t="n"/>
      <c r="H15" s="146" t="n"/>
      <c r="I15" s="146" t="n"/>
      <c r="J15" s="146" t="n"/>
      <c r="K15" s="146" t="n"/>
      <c r="L15" s="146" t="n"/>
      <c r="M15" s="146" t="n"/>
    </row>
    <row r="16" ht="17" customHeight="1">
      <c r="A16" s="146" t="n">
        <v>5</v>
      </c>
      <c r="B16" s="146" t="n"/>
      <c r="C16" s="147" t="n"/>
      <c r="D16" s="147" t="n"/>
      <c r="E16" s="147" t="n"/>
      <c r="F16" s="147" t="n"/>
      <c r="G16" s="146" t="n"/>
      <c r="H16" s="146" t="n"/>
      <c r="I16" s="146" t="n"/>
      <c r="J16" s="146" t="n"/>
      <c r="K16" s="146" t="n"/>
      <c r="L16" s="146" t="n"/>
      <c r="M16" s="146" t="n"/>
    </row>
    <row r="17" ht="17" customHeight="1">
      <c r="A17" s="146" t="n">
        <v>6</v>
      </c>
      <c r="B17" s="146" t="n"/>
      <c r="C17" s="147" t="n"/>
      <c r="D17" s="147" t="n"/>
      <c r="E17" s="147" t="n"/>
      <c r="F17" s="147" t="n"/>
      <c r="G17" s="146" t="n"/>
      <c r="H17" s="146" t="n"/>
      <c r="I17" s="146" t="n"/>
      <c r="J17" s="146" t="n"/>
      <c r="K17" s="146" t="n"/>
      <c r="L17" s="146" t="n"/>
      <c r="M17" s="146" t="n"/>
    </row>
    <row r="18" ht="17" customHeight="1">
      <c r="A18" s="146" t="n">
        <v>7</v>
      </c>
      <c r="B18" s="146" t="n"/>
      <c r="C18" s="147" t="n"/>
      <c r="D18" s="147" t="n"/>
      <c r="E18" s="147" t="n"/>
      <c r="F18" s="147" t="n"/>
      <c r="G18" s="146" t="n"/>
      <c r="H18" s="146" t="n"/>
      <c r="I18" s="146" t="n"/>
      <c r="J18" s="146" t="n"/>
      <c r="K18" s="146" t="n"/>
      <c r="L18" s="146" t="n"/>
      <c r="M18" s="146" t="n"/>
    </row>
    <row r="19" ht="17" customHeight="1">
      <c r="A19" s="146" t="n">
        <v>8</v>
      </c>
      <c r="B19" s="146" t="n"/>
      <c r="C19" s="147" t="n"/>
      <c r="D19" s="147" t="n"/>
      <c r="E19" s="147" t="n"/>
      <c r="F19" s="147" t="n"/>
      <c r="G19" s="146" t="n"/>
      <c r="H19" s="146" t="n"/>
      <c r="I19" s="146" t="n"/>
      <c r="J19" s="146" t="n"/>
      <c r="K19" s="146" t="n"/>
      <c r="L19" s="146" t="n"/>
      <c r="M19" s="146" t="n"/>
    </row>
    <row r="20" ht="17" customHeight="1">
      <c r="A20" s="146" t="n">
        <v>9</v>
      </c>
      <c r="B20" s="146" t="n"/>
      <c r="C20" s="147" t="n"/>
      <c r="D20" s="147" t="n"/>
      <c r="E20" s="147" t="n"/>
      <c r="F20" s="147" t="n"/>
      <c r="G20" s="146" t="n"/>
      <c r="H20" s="146" t="n"/>
      <c r="I20" s="146" t="n"/>
      <c r="J20" s="146" t="n"/>
      <c r="K20" s="146" t="n"/>
      <c r="L20" s="146" t="n"/>
      <c r="M20" s="146" t="n"/>
    </row>
    <row r="21" ht="17" customHeight="1">
      <c r="A21" s="146" t="n">
        <v>10</v>
      </c>
      <c r="B21" s="146" t="n"/>
      <c r="C21" s="147" t="n"/>
      <c r="D21" s="147" t="n"/>
      <c r="E21" s="147" t="n"/>
      <c r="F21" s="147" t="n"/>
      <c r="G21" s="146" t="n"/>
      <c r="H21" s="146" t="n"/>
      <c r="I21" s="146" t="n"/>
      <c r="J21" s="146" t="n"/>
      <c r="K21" s="146" t="n"/>
      <c r="L21" s="146" t="n"/>
      <c r="M21" s="146" t="n"/>
    </row>
    <row r="22" ht="17" customHeight="1">
      <c r="A22" s="146" t="n">
        <v>11</v>
      </c>
      <c r="B22" s="146" t="n"/>
      <c r="C22" s="147" t="n"/>
      <c r="D22" s="147" t="n"/>
      <c r="E22" s="147" t="n"/>
      <c r="F22" s="147" t="n"/>
      <c r="G22" s="146" t="n"/>
      <c r="H22" s="146" t="n"/>
      <c r="I22" s="146" t="n"/>
      <c r="J22" s="146" t="n"/>
      <c r="K22" s="146" t="n"/>
      <c r="L22" s="146" t="n"/>
      <c r="M22" s="146" t="n"/>
    </row>
    <row r="23" ht="20" customHeight="1">
      <c r="A23" s="139" t="inlineStr">
        <is>
          <t>المجموع</t>
        </is>
      </c>
      <c r="B23" s="141" t="n"/>
      <c r="C23" s="148">
        <f>SUM(C12:C22)</f>
        <v/>
      </c>
      <c r="D23" s="149">
        <f>SUM(D12:D22)</f>
        <v/>
      </c>
      <c r="E23" s="148">
        <f>SUM(E12:E22)</f>
        <v/>
      </c>
      <c r="F23" s="149">
        <f>SUM(F12:F22)</f>
        <v/>
      </c>
      <c r="G23" s="150" t="n"/>
      <c r="H23" s="150" t="n"/>
      <c r="I23" s="150" t="n"/>
      <c r="J23" s="150" t="n"/>
      <c r="K23" s="150" t="n"/>
      <c r="L23" s="150" t="n"/>
      <c r="M23" s="150" t="n"/>
    </row>
    <row r="24" ht="20" customHeight="1">
      <c r="A24" s="151" t="inlineStr">
        <is>
          <t>الرصيد</t>
        </is>
      </c>
      <c r="B24" s="141" t="n"/>
      <c r="C24" s="152">
        <f>C7+C23-D23</f>
        <v/>
      </c>
      <c r="D24" s="141" t="n"/>
      <c r="E24" s="152">
        <f>C8+E23-F23</f>
        <v/>
      </c>
      <c r="F24" s="141" t="n"/>
      <c r="G24" s="153" t="n"/>
      <c r="H24" s="153" t="n"/>
      <c r="I24" s="153" t="n"/>
      <c r="J24" s="153" t="n"/>
      <c r="K24" s="153" t="n"/>
      <c r="L24" s="153" t="n"/>
      <c r="M24" s="153" t="n"/>
    </row>
    <row r="25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  <c r="M25" s="109" t="n"/>
    </row>
    <row r="26" ht="17" customHeight="1">
      <c r="A26" s="154" t="inlineStr">
        <is>
          <t>الرصيد الحالي - دينار</t>
        </is>
      </c>
      <c r="B26" s="141" t="n"/>
      <c r="C26" s="155">
        <f>C24</f>
        <v/>
      </c>
      <c r="D26" s="156" t="inlineStr">
        <is>
          <t xml:space="preserve">      الرصيد الحالي</t>
        </is>
      </c>
      <c r="E26" s="157" t="n"/>
      <c r="F26" s="158" t="n"/>
      <c r="G26" s="156" t="inlineStr">
        <is>
          <t xml:space="preserve">      مجموع الاستيرادات</t>
        </is>
      </c>
      <c r="H26" s="157" t="n"/>
      <c r="I26" s="158" t="n"/>
      <c r="J26" s="156" t="inlineStr">
        <is>
          <t xml:space="preserve">      مجموع المصروفات والسحوبات</t>
        </is>
      </c>
      <c r="K26" s="157" t="n"/>
      <c r="L26" s="158" t="n"/>
      <c r="M26" s="109" t="n"/>
    </row>
    <row r="27" ht="26" customHeight="1">
      <c r="A27" s="154" t="inlineStr">
        <is>
          <t>الرصيد الحالي - دولار</t>
        </is>
      </c>
      <c r="B27" s="141" t="n"/>
      <c r="C27" s="159">
        <f>E24</f>
        <v/>
      </c>
      <c r="D27" s="160">
        <f>C24</f>
        <v/>
      </c>
      <c r="E27" s="157" t="n"/>
      <c r="F27" s="158" t="n"/>
      <c r="G27" s="161">
        <f>C23+E23</f>
        <v/>
      </c>
      <c r="H27" s="157" t="n"/>
      <c r="I27" s="158" t="n"/>
      <c r="J27" s="162">
        <f>D23+F23</f>
        <v/>
      </c>
      <c r="K27" s="157" t="n"/>
      <c r="L27" s="158" t="n"/>
      <c r="M27" s="109" t="n"/>
    </row>
    <row r="28" ht="16" customHeight="1">
      <c r="A28" s="109" t="n"/>
      <c r="B28" s="109" t="n"/>
      <c r="C28" s="109" t="n"/>
      <c r="D28" s="140" t="inlineStr">
        <is>
          <t>الرصيد الحالي = مجموع الاستيرادات − مجموع المصروفات والسحوبات</t>
        </is>
      </c>
      <c r="E28" s="143" t="n"/>
      <c r="F28" s="143" t="n"/>
      <c r="G28" s="143" t="n"/>
      <c r="H28" s="143" t="n"/>
      <c r="I28" s="143" t="n"/>
      <c r="J28" s="143" t="n"/>
      <c r="K28" s="143" t="n"/>
      <c r="L28" s="141" t="n"/>
      <c r="M28" s="109" t="n"/>
    </row>
    <row r="29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</row>
    <row r="30" ht="20" customHeight="1">
      <c r="A30" s="163" t="inlineStr">
        <is>
          <t xml:space="preserve">      ملخص الوصولات</t>
        </is>
      </c>
      <c r="B30" s="143" t="n"/>
      <c r="C30" s="143" t="n"/>
      <c r="D30" s="143" t="n"/>
      <c r="E30" s="143" t="n"/>
      <c r="F30" s="141" t="n"/>
      <c r="G30" s="109" t="n"/>
      <c r="H30" s="163" t="inlineStr">
        <is>
          <t xml:space="preserve">      ملاحظات أمين الصندوق</t>
        </is>
      </c>
      <c r="I30" s="143" t="n"/>
      <c r="J30" s="143" t="n"/>
      <c r="K30" s="143" t="n"/>
      <c r="L30" s="143" t="n"/>
      <c r="M30" s="141" t="n"/>
    </row>
    <row r="31" ht="17" customHeight="1">
      <c r="A31" s="142" t="inlineStr">
        <is>
          <t>ت</t>
        </is>
      </c>
      <c r="B31" s="142" t="inlineStr">
        <is>
          <t>تفاصيل</t>
        </is>
      </c>
      <c r="C31" s="142" t="inlineStr">
        <is>
          <t>العدد</t>
        </is>
      </c>
      <c r="D31" s="142" t="inlineStr">
        <is>
          <t>المجموع</t>
        </is>
      </c>
      <c r="E31" s="150" t="n"/>
      <c r="F31" s="150" t="n"/>
      <c r="G31" s="109" t="n"/>
      <c r="H31" s="164" t="inlineStr">
        <is>
          <t>·  ·  ·  ·  ·  ·  ·  ·  ·  ·  ·  ·  ·  ·  ·  ·  ·  ·  ·  ·  ·  ·  ·  ·</t>
        </is>
      </c>
      <c r="I31" s="143" t="n"/>
      <c r="J31" s="143" t="n"/>
      <c r="K31" s="143" t="n"/>
      <c r="L31" s="143" t="n"/>
      <c r="M31" s="141" t="n"/>
    </row>
    <row r="32" ht="16" customHeight="1">
      <c r="A32" s="112" t="n">
        <v>1</v>
      </c>
      <c r="B32" s="112" t="inlineStr">
        <is>
          <t>وصل قبض</t>
        </is>
      </c>
      <c r="C32" s="112">
        <f>COUNTIF(J12:J22,"قبض")</f>
        <v/>
      </c>
      <c r="D32" s="165">
        <f>C23</f>
        <v/>
      </c>
      <c r="E32" s="112" t="n"/>
      <c r="F32" s="112" t="n"/>
      <c r="G32" s="109" t="n"/>
      <c r="H32" s="164" t="inlineStr">
        <is>
          <t>·  ·  ·  ·  ·  ·  ·  ·  ·  ·  ·  ·  ·  ·  ·  ·  ·  ·  ·  ·  ·  ·  ·  ·</t>
        </is>
      </c>
      <c r="I32" s="143" t="n"/>
      <c r="J32" s="143" t="n"/>
      <c r="K32" s="143" t="n"/>
      <c r="L32" s="143" t="n"/>
      <c r="M32" s="141" t="n"/>
    </row>
    <row r="33" ht="16" customHeight="1">
      <c r="A33" s="112" t="n">
        <v>2</v>
      </c>
      <c r="B33" s="112" t="inlineStr">
        <is>
          <t>قبض مصروف</t>
        </is>
      </c>
      <c r="C33" s="112">
        <f>COUNTIF(J12:J22,"مصروف")</f>
        <v/>
      </c>
      <c r="D33" s="166" t="n">
        <v>0</v>
      </c>
      <c r="E33" s="112" t="n"/>
      <c r="F33" s="112" t="n"/>
      <c r="G33" s="109" t="n"/>
      <c r="H33" s="164" t="inlineStr">
        <is>
          <t>·  ·  ·  ·  ·  ·  ·  ·  ·  ·  ·  ·  ·  ·  ·  ·  ·  ·  ·  ·  ·  ·  ·  ·</t>
        </is>
      </c>
      <c r="I33" s="143" t="n"/>
      <c r="J33" s="143" t="n"/>
      <c r="K33" s="143" t="n"/>
      <c r="L33" s="143" t="n"/>
      <c r="M33" s="141" t="n"/>
    </row>
    <row r="34" ht="16" customHeight="1">
      <c r="A34" s="112" t="n">
        <v>3</v>
      </c>
      <c r="B34" s="112" t="inlineStr">
        <is>
          <t>وصل صرف</t>
        </is>
      </c>
      <c r="C34" s="112">
        <f>COUNTIF(J12:J22,"صرف")</f>
        <v/>
      </c>
      <c r="D34" s="166">
        <f>D23</f>
        <v/>
      </c>
      <c r="E34" s="112" t="n"/>
      <c r="F34" s="112" t="n"/>
      <c r="G34" s="109" t="n"/>
      <c r="H34" s="164" t="inlineStr">
        <is>
          <t>·  ·  ·  ·  ·  ·  ·  ·  ·  ·  ·  ·  ·  ·  ·  ·  ·  ·  ·  ·  ·  ·  ·  ·</t>
        </is>
      </c>
      <c r="I34" s="143" t="n"/>
      <c r="J34" s="143" t="n"/>
      <c r="K34" s="143" t="n"/>
      <c r="L34" s="143" t="n"/>
      <c r="M34" s="141" t="n"/>
    </row>
    <row r="35" ht="16" customHeight="1">
      <c r="A35" s="112" t="n">
        <v>4</v>
      </c>
      <c r="B35" s="112" t="inlineStr">
        <is>
          <t>صرف مصرفي</t>
        </is>
      </c>
      <c r="C35" s="112" t="n">
        <v>0</v>
      </c>
      <c r="D35" s="166" t="n">
        <v>0</v>
      </c>
      <c r="E35" s="112" t="n"/>
      <c r="F35" s="112" t="n"/>
      <c r="G35" s="109" t="n"/>
      <c r="H35" s="164" t="inlineStr">
        <is>
          <t>·  ·  ·  ·  ·  ·  ·  ·  ·  ·  ·  ·  ·  ·  ·  ·  ·  ·  ·  ·  ·  ·  ·  ·</t>
        </is>
      </c>
      <c r="I35" s="143" t="n"/>
      <c r="J35" s="143" t="n"/>
      <c r="K35" s="143" t="n"/>
      <c r="L35" s="143" t="n"/>
      <c r="M35" s="141" t="n"/>
    </row>
    <row r="36" ht="16" customHeight="1">
      <c r="A36" s="112" t="n">
        <v>5</v>
      </c>
      <c r="B36" s="112" t="inlineStr">
        <is>
          <t>وصلات ملغاة</t>
        </is>
      </c>
      <c r="C36" s="112" t="n">
        <v>0</v>
      </c>
      <c r="D36" s="166" t="n">
        <v>0</v>
      </c>
      <c r="E36" s="112" t="n"/>
      <c r="F36" s="112" t="n"/>
      <c r="G36" s="109" t="n"/>
      <c r="H36" s="164" t="inlineStr">
        <is>
          <t>·  ·  ·  ·  ·  ·  ·  ·  ·  ·  ·  ·  ·  ·  ·  ·  ·  ·  ·  ·  ·  ·  ·  ·</t>
        </is>
      </c>
      <c r="I36" s="143" t="n"/>
      <c r="J36" s="143" t="n"/>
      <c r="K36" s="143" t="n"/>
      <c r="L36" s="143" t="n"/>
      <c r="M36" s="141" t="n"/>
    </row>
    <row r="37" ht="16" customHeight="1">
      <c r="A37" s="112" t="n">
        <v>6</v>
      </c>
      <c r="B37" s="112" t="inlineStr">
        <is>
          <t>وصلات باطلة</t>
        </is>
      </c>
      <c r="C37" s="112" t="n">
        <v>0</v>
      </c>
      <c r="D37" s="166" t="n">
        <v>0</v>
      </c>
      <c r="E37" s="112" t="n"/>
      <c r="F37" s="112" t="n"/>
      <c r="G37" s="109" t="n"/>
      <c r="H37" s="164" t="inlineStr">
        <is>
          <t>·  ·  ·  ·  ·  ·  ·  ·  ·  ·  ·  ·  ·  ·  ·  ·  ·  ·  ·  ·  ·  ·  ·  ·</t>
        </is>
      </c>
      <c r="I37" s="143" t="n"/>
      <c r="J37" s="143" t="n"/>
      <c r="K37" s="143" t="n"/>
      <c r="L37" s="143" t="n"/>
      <c r="M37" s="141" t="n"/>
    </row>
    <row r="38" ht="17" customHeight="1">
      <c r="A38" s="140" t="inlineStr">
        <is>
          <t>إجمالي الوصولات</t>
        </is>
      </c>
      <c r="B38" s="141" t="n"/>
      <c r="C38" s="140">
        <f>C32+C33+C34+C35+C36+C37</f>
        <v/>
      </c>
      <c r="D38" s="110" t="inlineStr"/>
      <c r="E38" s="150" t="n"/>
      <c r="F38" s="150" t="n"/>
      <c r="G38" s="109" t="n"/>
      <c r="H38" s="109" t="n"/>
      <c r="I38" s="109" t="n"/>
      <c r="J38" s="109" t="n"/>
      <c r="K38" s="109" t="n"/>
      <c r="L38" s="109" t="n"/>
      <c r="M38" s="109" t="n"/>
    </row>
    <row r="39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  <c r="L39" s="109" t="n"/>
      <c r="M39" s="109" t="n"/>
    </row>
    <row r="40" ht="16" customHeight="1">
      <c r="A40" s="167" t="inlineStr">
        <is>
          <t>أمين الصندوق</t>
        </is>
      </c>
      <c r="B40" s="59" t="n"/>
      <c r="C40" s="59" t="n"/>
      <c r="D40" s="59" t="n"/>
      <c r="E40" s="109" t="n"/>
      <c r="F40" s="109" t="n"/>
      <c r="G40" s="109" t="n"/>
      <c r="H40" s="109" t="n"/>
      <c r="I40" s="16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168" t="inlineStr">
        <is>
          <t>________________</t>
        </is>
      </c>
      <c r="B41" s="59" t="n"/>
      <c r="C41" s="59" t="n"/>
      <c r="D41" s="59" t="n"/>
      <c r="E41" s="109" t="n"/>
      <c r="F41" s="109" t="n"/>
      <c r="G41" s="109" t="n"/>
      <c r="H41" s="109" t="n"/>
      <c r="I41" s="168" t="inlineStr">
        <is>
          <t>________________</t>
        </is>
      </c>
      <c r="J41" s="59" t="n"/>
      <c r="K41" s="59" t="n"/>
      <c r="L41" s="59" t="n"/>
      <c r="M41" s="59" t="n"/>
    </row>
    <row r="42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109" t="n"/>
    </row>
    <row r="43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  <c r="L43" s="109" t="n"/>
      <c r="M43" s="109" t="n"/>
    </row>
    <row r="44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  <c r="L44" s="109" t="n"/>
      <c r="M44" s="109" t="n"/>
    </row>
    <row r="45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  <c r="L45" s="109" t="n"/>
      <c r="M45" s="109" t="n"/>
    </row>
    <row r="46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  <c r="L46" s="109" t="n"/>
      <c r="M46" s="109" t="n"/>
    </row>
    <row r="47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  <c r="L47" s="109" t="n"/>
      <c r="M47" s="109" t="n"/>
    </row>
    <row r="4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</row>
    <row r="49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109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169" t="n"/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</row>
    <row r="2" ht="18" customHeight="1">
      <c r="A2" s="170" t="n"/>
      <c r="B2" s="171" t="inlineStr">
        <is>
          <t>اليوم</t>
        </is>
      </c>
      <c r="C2" s="172" t="n"/>
      <c r="D2" s="173" t="inlineStr">
        <is>
          <t>التقرير اليومي لصندوق طيبة النجف</t>
        </is>
      </c>
      <c r="E2" s="174" t="n"/>
      <c r="F2" s="174" t="n"/>
      <c r="G2" s="174" t="n"/>
      <c r="H2" s="174" t="n"/>
      <c r="I2" s="174" t="n"/>
      <c r="J2" s="175" t="n"/>
      <c r="K2" s="176" t="n"/>
      <c r="L2" s="177" t="n"/>
      <c r="M2" s="178" t="n"/>
    </row>
    <row r="3" ht="18" customHeight="1">
      <c r="A3" s="170" t="n"/>
      <c r="B3" s="171" t="inlineStr">
        <is>
          <t>التاريخ</t>
        </is>
      </c>
      <c r="C3" s="172" t="n"/>
      <c r="D3" s="179" t="n"/>
      <c r="E3" s="59" t="n"/>
      <c r="F3" s="59" t="n"/>
      <c r="G3" s="59" t="n"/>
      <c r="H3" s="59" t="n"/>
      <c r="I3" s="59" t="n"/>
      <c r="J3" s="180" t="n"/>
      <c r="K3" s="181" t="n"/>
      <c r="L3" s="59" t="n"/>
      <c r="M3" s="182" t="n"/>
    </row>
    <row r="4" ht="18" customHeight="1">
      <c r="A4" s="170" t="n"/>
      <c r="B4" s="171" t="inlineStr">
        <is>
          <t>أمين الصندوق</t>
        </is>
      </c>
      <c r="C4" s="172" t="n"/>
      <c r="D4" s="179" t="n"/>
      <c r="E4" s="59" t="n"/>
      <c r="F4" s="59" t="n"/>
      <c r="G4" s="59" t="n"/>
      <c r="H4" s="59" t="n"/>
      <c r="I4" s="59" t="n"/>
      <c r="J4" s="180" t="n"/>
      <c r="K4" s="181" t="n"/>
      <c r="L4" s="59" t="n"/>
      <c r="M4" s="182" t="n"/>
    </row>
    <row r="5" ht="18" customHeight="1">
      <c r="A5" s="170" t="n"/>
      <c r="B5" s="171" t="inlineStr">
        <is>
          <t>سلم التقرير</t>
        </is>
      </c>
      <c r="C5" s="172" t="n"/>
      <c r="D5" s="183" t="n"/>
      <c r="E5" s="184" t="n"/>
      <c r="F5" s="184" t="n"/>
      <c r="G5" s="184" t="n"/>
      <c r="H5" s="184" t="n"/>
      <c r="I5" s="184" t="n"/>
      <c r="J5" s="185" t="n"/>
      <c r="K5" s="181" t="n"/>
      <c r="L5" s="59" t="n"/>
      <c r="M5" s="182" t="n"/>
    </row>
    <row r="6" ht="18" customHeight="1">
      <c r="A6" s="170" t="n"/>
      <c r="B6" s="171" t="inlineStr">
        <is>
          <t>اسم صندوق اليوم</t>
        </is>
      </c>
      <c r="C6" s="186" t="inlineStr">
        <is>
          <t>طيبة النجف</t>
        </is>
      </c>
      <c r="D6" s="170" t="n"/>
      <c r="E6" s="187" t="n"/>
      <c r="F6" s="187" t="n"/>
      <c r="G6" s="187" t="n"/>
      <c r="H6" s="187" t="n"/>
      <c r="I6" s="187" t="n"/>
      <c r="J6" s="188" t="n"/>
      <c r="K6" s="181" t="n"/>
      <c r="L6" s="59" t="n"/>
      <c r="M6" s="182" t="n"/>
    </row>
    <row r="7" ht="18" customHeight="1">
      <c r="A7" s="170" t="n"/>
      <c r="B7" s="171" t="inlineStr">
        <is>
          <t>الرصيد السابق - دينار</t>
        </is>
      </c>
      <c r="C7" s="189" t="n">
        <v>0</v>
      </c>
      <c r="D7" s="190" t="n"/>
      <c r="E7" s="59" t="n"/>
      <c r="F7" s="59" t="n"/>
      <c r="G7" s="59" t="n"/>
      <c r="H7" s="59" t="n"/>
      <c r="I7" s="59" t="n"/>
      <c r="J7" s="191" t="n"/>
      <c r="K7" s="181" t="n"/>
      <c r="L7" s="59" t="n"/>
      <c r="M7" s="182" t="n"/>
    </row>
    <row r="8" ht="18" customHeight="1">
      <c r="A8" s="170" t="n"/>
      <c r="B8" s="171" t="inlineStr">
        <is>
          <t>الرصيد السابق - دولار</t>
        </is>
      </c>
      <c r="C8" s="192" t="n">
        <v>0</v>
      </c>
      <c r="D8" s="193" t="n"/>
      <c r="E8" s="194" t="n"/>
      <c r="F8" s="194" t="n"/>
      <c r="G8" s="194" t="n"/>
      <c r="H8" s="194" t="n"/>
      <c r="I8" s="194" t="n"/>
      <c r="J8" s="195" t="n"/>
      <c r="K8" s="196" t="n"/>
      <c r="L8" s="197" t="n"/>
      <c r="M8" s="198" t="n"/>
    </row>
    <row r="9" ht="5" customHeight="1">
      <c r="A9" s="169" t="n"/>
      <c r="B9" s="169" t="n"/>
      <c r="C9" s="169" t="n"/>
      <c r="D9" s="169" t="n"/>
      <c r="E9" s="169" t="n"/>
      <c r="F9" s="169" t="n"/>
      <c r="G9" s="169" t="n"/>
      <c r="H9" s="169" t="n"/>
      <c r="I9" s="169" t="n"/>
      <c r="J9" s="169" t="n"/>
      <c r="K9" s="169" t="n"/>
      <c r="L9" s="169" t="n"/>
      <c r="M9" s="169" t="n"/>
    </row>
    <row r="10" ht="20" customHeight="1">
      <c r="A10" s="199" t="inlineStr">
        <is>
          <t>ت</t>
        </is>
      </c>
      <c r="B10" s="200" t="inlineStr">
        <is>
          <t>التفاصيل</t>
        </is>
      </c>
      <c r="C10" s="200" t="inlineStr">
        <is>
          <t>صندوق - الدينار</t>
        </is>
      </c>
      <c r="D10" s="201" t="n"/>
      <c r="E10" s="200" t="inlineStr">
        <is>
          <t>صندوق - الدولار</t>
        </is>
      </c>
      <c r="F10" s="201" t="n"/>
      <c r="G10" s="202" t="inlineStr">
        <is>
          <t>رقم المستند</t>
        </is>
      </c>
      <c r="H10" s="202" t="inlineStr">
        <is>
          <t>اسم الحساب العميل</t>
        </is>
      </c>
      <c r="I10" s="202" t="inlineStr">
        <is>
          <t>رقم الحركة المالية</t>
        </is>
      </c>
      <c r="J10" s="200" t="inlineStr">
        <is>
          <t>المستندات</t>
        </is>
      </c>
      <c r="K10" s="203" t="n"/>
      <c r="L10" s="201" t="n"/>
      <c r="M10" s="202" t="inlineStr">
        <is>
          <t>التفاصيل</t>
        </is>
      </c>
    </row>
    <row r="11" ht="18" customHeight="1">
      <c r="A11" s="204" t="n"/>
      <c r="B11" s="204" t="n"/>
      <c r="C11" s="205" t="inlineStr">
        <is>
          <t>متنوعات</t>
        </is>
      </c>
      <c r="D11" s="205" t="inlineStr">
        <is>
          <t>مصروفات</t>
        </is>
      </c>
      <c r="E11" s="205" t="inlineStr">
        <is>
          <t>متنوعات</t>
        </is>
      </c>
      <c r="F11" s="205" t="inlineStr">
        <is>
          <t>مصروفات</t>
        </is>
      </c>
      <c r="G11" s="204" t="n"/>
      <c r="H11" s="204" t="n"/>
      <c r="I11" s="204" t="n"/>
      <c r="J11" s="205" t="inlineStr">
        <is>
          <t>نوع المستند</t>
        </is>
      </c>
      <c r="K11" s="205" t="inlineStr">
        <is>
          <t>تسلسل</t>
        </is>
      </c>
      <c r="L11" s="205" t="inlineStr">
        <is>
          <t>رقم المستند</t>
        </is>
      </c>
      <c r="M11" s="204" t="n"/>
    </row>
    <row r="12" ht="17" customHeight="1">
      <c r="A12" s="206" t="n">
        <v>1</v>
      </c>
      <c r="B12" s="206" t="n"/>
      <c r="C12" s="207" t="n"/>
      <c r="D12" s="207" t="n"/>
      <c r="E12" s="207" t="n"/>
      <c r="F12" s="207" t="n"/>
      <c r="G12" s="206" t="n"/>
      <c r="H12" s="206" t="n"/>
      <c r="I12" s="206" t="n"/>
      <c r="J12" s="206" t="n"/>
      <c r="K12" s="206" t="n"/>
      <c r="L12" s="206" t="n"/>
      <c r="M12" s="206" t="n"/>
    </row>
    <row r="13" ht="17" customHeight="1">
      <c r="A13" s="206" t="n">
        <v>2</v>
      </c>
      <c r="B13" s="206" t="n"/>
      <c r="C13" s="207" t="n"/>
      <c r="D13" s="207" t="n"/>
      <c r="E13" s="207" t="n"/>
      <c r="F13" s="207" t="n"/>
      <c r="G13" s="206" t="n"/>
      <c r="H13" s="206" t="n"/>
      <c r="I13" s="206" t="n"/>
      <c r="J13" s="206" t="n"/>
      <c r="K13" s="206" t="n"/>
      <c r="L13" s="206" t="n"/>
      <c r="M13" s="206" t="n"/>
    </row>
    <row r="14" ht="17" customHeight="1">
      <c r="A14" s="206" t="n">
        <v>3</v>
      </c>
      <c r="B14" s="206" t="n"/>
      <c r="C14" s="207" t="n"/>
      <c r="D14" s="207" t="n"/>
      <c r="E14" s="207" t="n"/>
      <c r="F14" s="207" t="n"/>
      <c r="G14" s="206" t="n"/>
      <c r="H14" s="206" t="n"/>
      <c r="I14" s="206" t="n"/>
      <c r="J14" s="206" t="n"/>
      <c r="K14" s="206" t="n"/>
      <c r="L14" s="206" t="n"/>
      <c r="M14" s="206" t="n"/>
    </row>
    <row r="15" ht="17" customHeight="1">
      <c r="A15" s="206" t="n">
        <v>4</v>
      </c>
      <c r="B15" s="206" t="n"/>
      <c r="C15" s="207" t="n"/>
      <c r="D15" s="207" t="n"/>
      <c r="E15" s="207" t="n"/>
      <c r="F15" s="207" t="n"/>
      <c r="G15" s="206" t="n"/>
      <c r="H15" s="206" t="n"/>
      <c r="I15" s="206" t="n"/>
      <c r="J15" s="206" t="n"/>
      <c r="K15" s="206" t="n"/>
      <c r="L15" s="206" t="n"/>
      <c r="M15" s="206" t="n"/>
    </row>
    <row r="16" ht="17" customHeight="1">
      <c r="A16" s="206" t="n">
        <v>5</v>
      </c>
      <c r="B16" s="206" t="n"/>
      <c r="C16" s="207" t="n"/>
      <c r="D16" s="207" t="n"/>
      <c r="E16" s="207" t="n"/>
      <c r="F16" s="207" t="n"/>
      <c r="G16" s="206" t="n"/>
      <c r="H16" s="206" t="n"/>
      <c r="I16" s="206" t="n"/>
      <c r="J16" s="206" t="n"/>
      <c r="K16" s="206" t="n"/>
      <c r="L16" s="206" t="n"/>
      <c r="M16" s="206" t="n"/>
    </row>
    <row r="17" ht="17" customHeight="1">
      <c r="A17" s="206" t="n">
        <v>6</v>
      </c>
      <c r="B17" s="206" t="n"/>
      <c r="C17" s="207" t="n"/>
      <c r="D17" s="207" t="n"/>
      <c r="E17" s="207" t="n"/>
      <c r="F17" s="207" t="n"/>
      <c r="G17" s="206" t="n"/>
      <c r="H17" s="206" t="n"/>
      <c r="I17" s="206" t="n"/>
      <c r="J17" s="206" t="n"/>
      <c r="K17" s="206" t="n"/>
      <c r="L17" s="206" t="n"/>
      <c r="M17" s="206" t="n"/>
    </row>
    <row r="18" ht="17" customHeight="1">
      <c r="A18" s="206" t="n">
        <v>7</v>
      </c>
      <c r="B18" s="206" t="n"/>
      <c r="C18" s="207" t="n"/>
      <c r="D18" s="207" t="n"/>
      <c r="E18" s="207" t="n"/>
      <c r="F18" s="207" t="n"/>
      <c r="G18" s="206" t="n"/>
      <c r="H18" s="206" t="n"/>
      <c r="I18" s="206" t="n"/>
      <c r="J18" s="206" t="n"/>
      <c r="K18" s="206" t="n"/>
      <c r="L18" s="206" t="n"/>
      <c r="M18" s="206" t="n"/>
    </row>
    <row r="19" ht="17" customHeight="1">
      <c r="A19" s="206" t="n">
        <v>8</v>
      </c>
      <c r="B19" s="206" t="n"/>
      <c r="C19" s="207" t="n"/>
      <c r="D19" s="207" t="n"/>
      <c r="E19" s="207" t="n"/>
      <c r="F19" s="207" t="n"/>
      <c r="G19" s="206" t="n"/>
      <c r="H19" s="206" t="n"/>
      <c r="I19" s="206" t="n"/>
      <c r="J19" s="206" t="n"/>
      <c r="K19" s="206" t="n"/>
      <c r="L19" s="206" t="n"/>
      <c r="M19" s="206" t="n"/>
    </row>
    <row r="20" ht="17" customHeight="1">
      <c r="A20" s="206" t="n">
        <v>9</v>
      </c>
      <c r="B20" s="206" t="n"/>
      <c r="C20" s="207" t="n"/>
      <c r="D20" s="207" t="n"/>
      <c r="E20" s="207" t="n"/>
      <c r="F20" s="207" t="n"/>
      <c r="G20" s="206" t="n"/>
      <c r="H20" s="206" t="n"/>
      <c r="I20" s="206" t="n"/>
      <c r="J20" s="206" t="n"/>
      <c r="K20" s="206" t="n"/>
      <c r="L20" s="206" t="n"/>
      <c r="M20" s="206" t="n"/>
    </row>
    <row r="21" ht="17" customHeight="1">
      <c r="A21" s="206" t="n">
        <v>10</v>
      </c>
      <c r="B21" s="206" t="n"/>
      <c r="C21" s="207" t="n"/>
      <c r="D21" s="207" t="n"/>
      <c r="E21" s="207" t="n"/>
      <c r="F21" s="207" t="n"/>
      <c r="G21" s="206" t="n"/>
      <c r="H21" s="206" t="n"/>
      <c r="I21" s="206" t="n"/>
      <c r="J21" s="206" t="n"/>
      <c r="K21" s="206" t="n"/>
      <c r="L21" s="206" t="n"/>
      <c r="M21" s="206" t="n"/>
    </row>
    <row r="22" ht="17" customHeight="1">
      <c r="A22" s="206" t="n">
        <v>11</v>
      </c>
      <c r="B22" s="206" t="n"/>
      <c r="C22" s="207" t="n"/>
      <c r="D22" s="207" t="n"/>
      <c r="E22" s="207" t="n"/>
      <c r="F22" s="207" t="n"/>
      <c r="G22" s="206" t="n"/>
      <c r="H22" s="206" t="n"/>
      <c r="I22" s="206" t="n"/>
      <c r="J22" s="206" t="n"/>
      <c r="K22" s="206" t="n"/>
      <c r="L22" s="206" t="n"/>
      <c r="M22" s="206" t="n"/>
    </row>
    <row r="23" ht="20" customHeight="1">
      <c r="A23" s="199" t="inlineStr">
        <is>
          <t>المجموع</t>
        </is>
      </c>
      <c r="B23" s="201" t="n"/>
      <c r="C23" s="208">
        <f>SUM(C12:C22)</f>
        <v/>
      </c>
      <c r="D23" s="209">
        <f>SUM(D12:D22)</f>
        <v/>
      </c>
      <c r="E23" s="208">
        <f>SUM(E12:E22)</f>
        <v/>
      </c>
      <c r="F23" s="209">
        <f>SUM(F12:F22)</f>
        <v/>
      </c>
      <c r="G23" s="210" t="n"/>
      <c r="H23" s="210" t="n"/>
      <c r="I23" s="210" t="n"/>
      <c r="J23" s="210" t="n"/>
      <c r="K23" s="210" t="n"/>
      <c r="L23" s="210" t="n"/>
      <c r="M23" s="210" t="n"/>
    </row>
    <row r="24" ht="20" customHeight="1">
      <c r="A24" s="211" t="inlineStr">
        <is>
          <t>الرصيد</t>
        </is>
      </c>
      <c r="B24" s="201" t="n"/>
      <c r="C24" s="212">
        <f>C7+C23-D23</f>
        <v/>
      </c>
      <c r="D24" s="201" t="n"/>
      <c r="E24" s="212">
        <f>C8+E23-F23</f>
        <v/>
      </c>
      <c r="F24" s="201" t="n"/>
      <c r="G24" s="213" t="n"/>
      <c r="H24" s="213" t="n"/>
      <c r="I24" s="213" t="n"/>
      <c r="J24" s="213" t="n"/>
      <c r="K24" s="213" t="n"/>
      <c r="L24" s="213" t="n"/>
      <c r="M24" s="213" t="n"/>
    </row>
    <row r="25">
      <c r="A25" s="169" t="n"/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69" t="n"/>
      <c r="M25" s="169" t="n"/>
    </row>
    <row r="26" ht="17" customHeight="1">
      <c r="A26" s="214" t="inlineStr">
        <is>
          <t>الرصيد الحالي - دينار</t>
        </is>
      </c>
      <c r="B26" s="201" t="n"/>
      <c r="C26" s="215">
        <f>C24</f>
        <v/>
      </c>
      <c r="D26" s="216" t="inlineStr">
        <is>
          <t xml:space="preserve">      الرصيد الحالي</t>
        </is>
      </c>
      <c r="E26" s="217" t="n"/>
      <c r="F26" s="218" t="n"/>
      <c r="G26" s="216" t="inlineStr">
        <is>
          <t xml:space="preserve">      مجموع الاستيرادات</t>
        </is>
      </c>
      <c r="H26" s="217" t="n"/>
      <c r="I26" s="218" t="n"/>
      <c r="J26" s="216" t="inlineStr">
        <is>
          <t xml:space="preserve">      مجموع المصروفات والسحوبات</t>
        </is>
      </c>
      <c r="K26" s="217" t="n"/>
      <c r="L26" s="218" t="n"/>
      <c r="M26" s="169" t="n"/>
    </row>
    <row r="27" ht="26" customHeight="1">
      <c r="A27" s="214" t="inlineStr">
        <is>
          <t>الرصيد الحالي - دولار</t>
        </is>
      </c>
      <c r="B27" s="201" t="n"/>
      <c r="C27" s="219">
        <f>E24</f>
        <v/>
      </c>
      <c r="D27" s="220">
        <f>C24</f>
        <v/>
      </c>
      <c r="E27" s="217" t="n"/>
      <c r="F27" s="218" t="n"/>
      <c r="G27" s="221">
        <f>C23+E23</f>
        <v/>
      </c>
      <c r="H27" s="217" t="n"/>
      <c r="I27" s="218" t="n"/>
      <c r="J27" s="222">
        <f>D23+F23</f>
        <v/>
      </c>
      <c r="K27" s="217" t="n"/>
      <c r="L27" s="218" t="n"/>
      <c r="M27" s="169" t="n"/>
    </row>
    <row r="28" ht="16" customHeight="1">
      <c r="A28" s="169" t="n"/>
      <c r="B28" s="169" t="n"/>
      <c r="C28" s="169" t="n"/>
      <c r="D28" s="200" t="inlineStr">
        <is>
          <t>الرصيد الحالي = مجموع الاستيرادات − مجموع المصروفات والسحوبات</t>
        </is>
      </c>
      <c r="E28" s="203" t="n"/>
      <c r="F28" s="203" t="n"/>
      <c r="G28" s="203" t="n"/>
      <c r="H28" s="203" t="n"/>
      <c r="I28" s="203" t="n"/>
      <c r="J28" s="203" t="n"/>
      <c r="K28" s="203" t="n"/>
      <c r="L28" s="201" t="n"/>
      <c r="M28" s="169" t="n"/>
    </row>
    <row r="29">
      <c r="A29" s="169" t="n"/>
      <c r="B29" s="169" t="n"/>
      <c r="C29" s="169" t="n"/>
      <c r="D29" s="169" t="n"/>
      <c r="E29" s="169" t="n"/>
      <c r="F29" s="169" t="n"/>
      <c r="G29" s="169" t="n"/>
      <c r="H29" s="169" t="n"/>
      <c r="I29" s="169" t="n"/>
      <c r="J29" s="169" t="n"/>
      <c r="K29" s="169" t="n"/>
      <c r="L29" s="169" t="n"/>
      <c r="M29" s="169" t="n"/>
    </row>
    <row r="30" ht="20" customHeight="1">
      <c r="A30" s="223" t="inlineStr">
        <is>
          <t xml:space="preserve">      ملخص الوصولات</t>
        </is>
      </c>
      <c r="B30" s="203" t="n"/>
      <c r="C30" s="203" t="n"/>
      <c r="D30" s="203" t="n"/>
      <c r="E30" s="203" t="n"/>
      <c r="F30" s="201" t="n"/>
      <c r="G30" s="169" t="n"/>
      <c r="H30" s="223" t="inlineStr">
        <is>
          <t xml:space="preserve">      ملاحظات أمين الصندوق</t>
        </is>
      </c>
      <c r="I30" s="203" t="n"/>
      <c r="J30" s="203" t="n"/>
      <c r="K30" s="203" t="n"/>
      <c r="L30" s="203" t="n"/>
      <c r="M30" s="201" t="n"/>
    </row>
    <row r="31" ht="17" customHeight="1">
      <c r="A31" s="202" t="inlineStr">
        <is>
          <t>ت</t>
        </is>
      </c>
      <c r="B31" s="202" t="inlineStr">
        <is>
          <t>تفاصيل</t>
        </is>
      </c>
      <c r="C31" s="202" t="inlineStr">
        <is>
          <t>العدد</t>
        </is>
      </c>
      <c r="D31" s="202" t="inlineStr">
        <is>
          <t>المجموع</t>
        </is>
      </c>
      <c r="E31" s="210" t="n"/>
      <c r="F31" s="210" t="n"/>
      <c r="G31" s="169" t="n"/>
      <c r="H31" s="224" t="inlineStr">
        <is>
          <t>·  ·  ·  ·  ·  ·  ·  ·  ·  ·  ·  ·  ·  ·  ·  ·  ·  ·  ·  ·  ·  ·  ·  ·</t>
        </is>
      </c>
      <c r="I31" s="203" t="n"/>
      <c r="J31" s="203" t="n"/>
      <c r="K31" s="203" t="n"/>
      <c r="L31" s="203" t="n"/>
      <c r="M31" s="201" t="n"/>
    </row>
    <row r="32" ht="16" customHeight="1">
      <c r="A32" s="172" t="n">
        <v>1</v>
      </c>
      <c r="B32" s="172" t="inlineStr">
        <is>
          <t>وصل قبض</t>
        </is>
      </c>
      <c r="C32" s="172">
        <f>COUNTIF(J12:J22,"قبض")</f>
        <v/>
      </c>
      <c r="D32" s="225">
        <f>C23</f>
        <v/>
      </c>
      <c r="E32" s="172" t="n"/>
      <c r="F32" s="172" t="n"/>
      <c r="G32" s="169" t="n"/>
      <c r="H32" s="224" t="inlineStr">
        <is>
          <t>·  ·  ·  ·  ·  ·  ·  ·  ·  ·  ·  ·  ·  ·  ·  ·  ·  ·  ·  ·  ·  ·  ·  ·</t>
        </is>
      </c>
      <c r="I32" s="203" t="n"/>
      <c r="J32" s="203" t="n"/>
      <c r="K32" s="203" t="n"/>
      <c r="L32" s="203" t="n"/>
      <c r="M32" s="201" t="n"/>
    </row>
    <row r="33" ht="16" customHeight="1">
      <c r="A33" s="172" t="n">
        <v>2</v>
      </c>
      <c r="B33" s="172" t="inlineStr">
        <is>
          <t>قبض مصروف</t>
        </is>
      </c>
      <c r="C33" s="172">
        <f>COUNTIF(J12:J22,"مصروف")</f>
        <v/>
      </c>
      <c r="D33" s="226" t="n">
        <v>0</v>
      </c>
      <c r="E33" s="172" t="n"/>
      <c r="F33" s="172" t="n"/>
      <c r="G33" s="169" t="n"/>
      <c r="H33" s="224" t="inlineStr">
        <is>
          <t>·  ·  ·  ·  ·  ·  ·  ·  ·  ·  ·  ·  ·  ·  ·  ·  ·  ·  ·  ·  ·  ·  ·  ·</t>
        </is>
      </c>
      <c r="I33" s="203" t="n"/>
      <c r="J33" s="203" t="n"/>
      <c r="K33" s="203" t="n"/>
      <c r="L33" s="203" t="n"/>
      <c r="M33" s="201" t="n"/>
    </row>
    <row r="34" ht="16" customHeight="1">
      <c r="A34" s="172" t="n">
        <v>3</v>
      </c>
      <c r="B34" s="172" t="inlineStr">
        <is>
          <t>وصل صرف</t>
        </is>
      </c>
      <c r="C34" s="172">
        <f>COUNTIF(J12:J22,"صرف")</f>
        <v/>
      </c>
      <c r="D34" s="226">
        <f>D23</f>
        <v/>
      </c>
      <c r="E34" s="172" t="n"/>
      <c r="F34" s="172" t="n"/>
      <c r="G34" s="169" t="n"/>
      <c r="H34" s="224" t="inlineStr">
        <is>
          <t>·  ·  ·  ·  ·  ·  ·  ·  ·  ·  ·  ·  ·  ·  ·  ·  ·  ·  ·  ·  ·  ·  ·  ·</t>
        </is>
      </c>
      <c r="I34" s="203" t="n"/>
      <c r="J34" s="203" t="n"/>
      <c r="K34" s="203" t="n"/>
      <c r="L34" s="203" t="n"/>
      <c r="M34" s="201" t="n"/>
    </row>
    <row r="35" ht="16" customHeight="1">
      <c r="A35" s="172" t="n">
        <v>4</v>
      </c>
      <c r="B35" s="172" t="inlineStr">
        <is>
          <t>صرف مصرفي</t>
        </is>
      </c>
      <c r="C35" s="172" t="n">
        <v>0</v>
      </c>
      <c r="D35" s="226" t="n">
        <v>0</v>
      </c>
      <c r="E35" s="172" t="n"/>
      <c r="F35" s="172" t="n"/>
      <c r="G35" s="169" t="n"/>
      <c r="H35" s="224" t="inlineStr">
        <is>
          <t>·  ·  ·  ·  ·  ·  ·  ·  ·  ·  ·  ·  ·  ·  ·  ·  ·  ·  ·  ·  ·  ·  ·  ·</t>
        </is>
      </c>
      <c r="I35" s="203" t="n"/>
      <c r="J35" s="203" t="n"/>
      <c r="K35" s="203" t="n"/>
      <c r="L35" s="203" t="n"/>
      <c r="M35" s="201" t="n"/>
    </row>
    <row r="36" ht="16" customHeight="1">
      <c r="A36" s="172" t="n">
        <v>5</v>
      </c>
      <c r="B36" s="172" t="inlineStr">
        <is>
          <t>وصلات ملغاة</t>
        </is>
      </c>
      <c r="C36" s="172" t="n">
        <v>0</v>
      </c>
      <c r="D36" s="226" t="n">
        <v>0</v>
      </c>
      <c r="E36" s="172" t="n"/>
      <c r="F36" s="172" t="n"/>
      <c r="G36" s="169" t="n"/>
      <c r="H36" s="224" t="inlineStr">
        <is>
          <t>·  ·  ·  ·  ·  ·  ·  ·  ·  ·  ·  ·  ·  ·  ·  ·  ·  ·  ·  ·  ·  ·  ·  ·</t>
        </is>
      </c>
      <c r="I36" s="203" t="n"/>
      <c r="J36" s="203" t="n"/>
      <c r="K36" s="203" t="n"/>
      <c r="L36" s="203" t="n"/>
      <c r="M36" s="201" t="n"/>
    </row>
    <row r="37" ht="16" customHeight="1">
      <c r="A37" s="172" t="n">
        <v>6</v>
      </c>
      <c r="B37" s="172" t="inlineStr">
        <is>
          <t>وصلات باطلة</t>
        </is>
      </c>
      <c r="C37" s="172" t="n">
        <v>0</v>
      </c>
      <c r="D37" s="226" t="n">
        <v>0</v>
      </c>
      <c r="E37" s="172" t="n"/>
      <c r="F37" s="172" t="n"/>
      <c r="G37" s="169" t="n"/>
      <c r="H37" s="224" t="inlineStr">
        <is>
          <t>·  ·  ·  ·  ·  ·  ·  ·  ·  ·  ·  ·  ·  ·  ·  ·  ·  ·  ·  ·  ·  ·  ·  ·</t>
        </is>
      </c>
      <c r="I37" s="203" t="n"/>
      <c r="J37" s="203" t="n"/>
      <c r="K37" s="203" t="n"/>
      <c r="L37" s="203" t="n"/>
      <c r="M37" s="201" t="n"/>
    </row>
    <row r="38" ht="17" customHeight="1">
      <c r="A38" s="200" t="inlineStr">
        <is>
          <t>إجمالي الوصولات</t>
        </is>
      </c>
      <c r="B38" s="201" t="n"/>
      <c r="C38" s="200">
        <f>C32+C33+C34+C35+C36+C37</f>
        <v/>
      </c>
      <c r="D38" s="170" t="inlineStr"/>
      <c r="E38" s="210" t="n"/>
      <c r="F38" s="210" t="n"/>
      <c r="G38" s="169" t="n"/>
      <c r="H38" s="169" t="n"/>
      <c r="I38" s="169" t="n"/>
      <c r="J38" s="169" t="n"/>
      <c r="K38" s="169" t="n"/>
      <c r="L38" s="169" t="n"/>
      <c r="M38" s="169" t="n"/>
    </row>
    <row r="39">
      <c r="A39" s="169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69" t="n"/>
      <c r="M39" s="169" t="n"/>
    </row>
    <row r="40" ht="16" customHeight="1">
      <c r="A40" s="227" t="inlineStr">
        <is>
          <t>أمين الصندوق</t>
        </is>
      </c>
      <c r="B40" s="59" t="n"/>
      <c r="C40" s="59" t="n"/>
      <c r="D40" s="59" t="n"/>
      <c r="E40" s="169" t="n"/>
      <c r="F40" s="169" t="n"/>
      <c r="G40" s="169" t="n"/>
      <c r="H40" s="169" t="n"/>
      <c r="I40" s="22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228" t="inlineStr">
        <is>
          <t>________________</t>
        </is>
      </c>
      <c r="B41" s="59" t="n"/>
      <c r="C41" s="59" t="n"/>
      <c r="D41" s="59" t="n"/>
      <c r="E41" s="169" t="n"/>
      <c r="F41" s="169" t="n"/>
      <c r="G41" s="169" t="n"/>
      <c r="H41" s="169" t="n"/>
      <c r="I41" s="228" t="inlineStr">
        <is>
          <t>________________</t>
        </is>
      </c>
      <c r="J41" s="59" t="n"/>
      <c r="K41" s="59" t="n"/>
      <c r="L41" s="59" t="n"/>
      <c r="M41" s="59" t="n"/>
    </row>
    <row r="42">
      <c r="A42" s="169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69" t="n"/>
      <c r="M42" s="169" t="n"/>
    </row>
    <row r="43">
      <c r="A43" s="169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69" t="n"/>
      <c r="M43" s="169" t="n"/>
    </row>
    <row r="44">
      <c r="A44" s="169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69" t="n"/>
      <c r="M44" s="169" t="n"/>
    </row>
    <row r="45">
      <c r="A45" s="169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69" t="n"/>
      <c r="M45" s="169" t="n"/>
    </row>
    <row r="46">
      <c r="A46" s="169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69" t="n"/>
      <c r="M46" s="169" t="n"/>
    </row>
    <row r="47">
      <c r="A47" s="169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69" t="n"/>
      <c r="M47" s="169" t="n"/>
    </row>
    <row r="48">
      <c r="A48" s="169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69" t="n"/>
      <c r="M48" s="169" t="n"/>
    </row>
    <row r="49">
      <c r="A49" s="169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69" t="n"/>
      <c r="M49" s="169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229" t="n"/>
      <c r="B1" s="229" t="n"/>
      <c r="C1" s="229" t="n"/>
      <c r="D1" s="229" t="n"/>
      <c r="E1" s="229" t="n"/>
      <c r="F1" s="229" t="n"/>
      <c r="G1" s="229" t="n"/>
      <c r="H1" s="229" t="n"/>
      <c r="I1" s="229" t="n"/>
      <c r="J1" s="229" t="n"/>
      <c r="K1" s="229" t="n"/>
      <c r="L1" s="229" t="n"/>
      <c r="M1" s="229" t="n"/>
    </row>
    <row r="2" ht="18" customHeight="1">
      <c r="A2" s="230" t="n"/>
      <c r="B2" s="231" t="inlineStr">
        <is>
          <t>اليوم</t>
        </is>
      </c>
      <c r="C2" s="232" t="n"/>
      <c r="D2" s="233" t="inlineStr">
        <is>
          <t>التقرير اليومي لصندوق غدير كربلاء</t>
        </is>
      </c>
      <c r="E2" s="234" t="n"/>
      <c r="F2" s="234" t="n"/>
      <c r="G2" s="234" t="n"/>
      <c r="H2" s="234" t="n"/>
      <c r="I2" s="234" t="n"/>
      <c r="J2" s="235" t="n"/>
      <c r="K2" s="236" t="n"/>
      <c r="L2" s="237" t="n"/>
      <c r="M2" s="238" t="n"/>
    </row>
    <row r="3" ht="18" customHeight="1">
      <c r="A3" s="230" t="n"/>
      <c r="B3" s="231" t="inlineStr">
        <is>
          <t>التاريخ</t>
        </is>
      </c>
      <c r="C3" s="232" t="n"/>
      <c r="D3" s="239" t="n"/>
      <c r="E3" s="59" t="n"/>
      <c r="F3" s="59" t="n"/>
      <c r="G3" s="59" t="n"/>
      <c r="H3" s="59" t="n"/>
      <c r="I3" s="59" t="n"/>
      <c r="J3" s="240" t="n"/>
      <c r="K3" s="241" t="n"/>
      <c r="L3" s="59" t="n"/>
      <c r="M3" s="242" t="n"/>
    </row>
    <row r="4" ht="18" customHeight="1">
      <c r="A4" s="230" t="n"/>
      <c r="B4" s="231" t="inlineStr">
        <is>
          <t>أمين الصندوق</t>
        </is>
      </c>
      <c r="C4" s="232" t="n"/>
      <c r="D4" s="239" t="n"/>
      <c r="E4" s="59" t="n"/>
      <c r="F4" s="59" t="n"/>
      <c r="G4" s="59" t="n"/>
      <c r="H4" s="59" t="n"/>
      <c r="I4" s="59" t="n"/>
      <c r="J4" s="240" t="n"/>
      <c r="K4" s="241" t="n"/>
      <c r="L4" s="59" t="n"/>
      <c r="M4" s="242" t="n"/>
    </row>
    <row r="5" ht="18" customHeight="1">
      <c r="A5" s="230" t="n"/>
      <c r="B5" s="231" t="inlineStr">
        <is>
          <t>سلم التقرير</t>
        </is>
      </c>
      <c r="C5" s="232" t="n"/>
      <c r="D5" s="243" t="n"/>
      <c r="E5" s="244" t="n"/>
      <c r="F5" s="244" t="n"/>
      <c r="G5" s="244" t="n"/>
      <c r="H5" s="244" t="n"/>
      <c r="I5" s="244" t="n"/>
      <c r="J5" s="245" t="n"/>
      <c r="K5" s="241" t="n"/>
      <c r="L5" s="59" t="n"/>
      <c r="M5" s="242" t="n"/>
    </row>
    <row r="6" ht="18" customHeight="1">
      <c r="A6" s="230" t="n"/>
      <c r="B6" s="231" t="inlineStr">
        <is>
          <t>اسم صندوق اليوم</t>
        </is>
      </c>
      <c r="C6" s="246" t="inlineStr">
        <is>
          <t>غدير كربلاء</t>
        </is>
      </c>
      <c r="D6" s="230" t="n"/>
      <c r="E6" s="247" t="n"/>
      <c r="F6" s="247" t="n"/>
      <c r="G6" s="247" t="n"/>
      <c r="H6" s="247" t="n"/>
      <c r="I6" s="247" t="n"/>
      <c r="J6" s="248" t="n"/>
      <c r="K6" s="241" t="n"/>
      <c r="L6" s="59" t="n"/>
      <c r="M6" s="242" t="n"/>
    </row>
    <row r="7" ht="18" customHeight="1">
      <c r="A7" s="230" t="n"/>
      <c r="B7" s="231" t="inlineStr">
        <is>
          <t>الرصيد السابق - دينار</t>
        </is>
      </c>
      <c r="C7" s="249" t="n">
        <v>0</v>
      </c>
      <c r="D7" s="250" t="n"/>
      <c r="E7" s="59" t="n"/>
      <c r="F7" s="59" t="n"/>
      <c r="G7" s="59" t="n"/>
      <c r="H7" s="59" t="n"/>
      <c r="I7" s="59" t="n"/>
      <c r="J7" s="251" t="n"/>
      <c r="K7" s="241" t="n"/>
      <c r="L7" s="59" t="n"/>
      <c r="M7" s="242" t="n"/>
    </row>
    <row r="8" ht="18" customHeight="1">
      <c r="A8" s="230" t="n"/>
      <c r="B8" s="231" t="inlineStr">
        <is>
          <t>الرصيد السابق - دولار</t>
        </is>
      </c>
      <c r="C8" s="252" t="n">
        <v>0</v>
      </c>
      <c r="D8" s="253" t="n"/>
      <c r="E8" s="254" t="n"/>
      <c r="F8" s="254" t="n"/>
      <c r="G8" s="254" t="n"/>
      <c r="H8" s="254" t="n"/>
      <c r="I8" s="254" t="n"/>
      <c r="J8" s="255" t="n"/>
      <c r="K8" s="256" t="n"/>
      <c r="L8" s="257" t="n"/>
      <c r="M8" s="258" t="n"/>
    </row>
    <row r="9" ht="5" customHeight="1">
      <c r="A9" s="229" t="n"/>
      <c r="B9" s="229" t="n"/>
      <c r="C9" s="229" t="n"/>
      <c r="D9" s="229" t="n"/>
      <c r="E9" s="229" t="n"/>
      <c r="F9" s="229" t="n"/>
      <c r="G9" s="229" t="n"/>
      <c r="H9" s="229" t="n"/>
      <c r="I9" s="229" t="n"/>
      <c r="J9" s="229" t="n"/>
      <c r="K9" s="229" t="n"/>
      <c r="L9" s="229" t="n"/>
      <c r="M9" s="229" t="n"/>
    </row>
    <row r="10" ht="20" customHeight="1">
      <c r="A10" s="259" t="inlineStr">
        <is>
          <t>ت</t>
        </is>
      </c>
      <c r="B10" s="260" t="inlineStr">
        <is>
          <t>التفاصيل</t>
        </is>
      </c>
      <c r="C10" s="260" t="inlineStr">
        <is>
          <t>صندوق - الدينار</t>
        </is>
      </c>
      <c r="D10" s="261" t="n"/>
      <c r="E10" s="260" t="inlineStr">
        <is>
          <t>صندوق - الدولار</t>
        </is>
      </c>
      <c r="F10" s="261" t="n"/>
      <c r="G10" s="262" t="inlineStr">
        <is>
          <t>رقم المستند</t>
        </is>
      </c>
      <c r="H10" s="262" t="inlineStr">
        <is>
          <t>اسم الحساب العميل</t>
        </is>
      </c>
      <c r="I10" s="262" t="inlineStr">
        <is>
          <t>رقم الحركة المالية</t>
        </is>
      </c>
      <c r="J10" s="260" t="inlineStr">
        <is>
          <t>المستندات</t>
        </is>
      </c>
      <c r="K10" s="263" t="n"/>
      <c r="L10" s="261" t="n"/>
      <c r="M10" s="262" t="inlineStr">
        <is>
          <t>التفاصيل</t>
        </is>
      </c>
    </row>
    <row r="11" ht="18" customHeight="1">
      <c r="A11" s="264" t="n"/>
      <c r="B11" s="264" t="n"/>
      <c r="C11" s="265" t="inlineStr">
        <is>
          <t>متنوعات</t>
        </is>
      </c>
      <c r="D11" s="265" t="inlineStr">
        <is>
          <t>مصروفات</t>
        </is>
      </c>
      <c r="E11" s="265" t="inlineStr">
        <is>
          <t>متنوعات</t>
        </is>
      </c>
      <c r="F11" s="265" t="inlineStr">
        <is>
          <t>مصروفات</t>
        </is>
      </c>
      <c r="G11" s="264" t="n"/>
      <c r="H11" s="264" t="n"/>
      <c r="I11" s="264" t="n"/>
      <c r="J11" s="265" t="inlineStr">
        <is>
          <t>نوع المستند</t>
        </is>
      </c>
      <c r="K11" s="265" t="inlineStr">
        <is>
          <t>تسلسل</t>
        </is>
      </c>
      <c r="L11" s="265" t="inlineStr">
        <is>
          <t>رقم المستند</t>
        </is>
      </c>
      <c r="M11" s="264" t="n"/>
    </row>
    <row r="12" ht="17" customHeight="1">
      <c r="A12" s="266" t="n">
        <v>1</v>
      </c>
      <c r="B12" s="266" t="n"/>
      <c r="C12" s="267" t="n"/>
      <c r="D12" s="267" t="n"/>
      <c r="E12" s="267" t="n"/>
      <c r="F12" s="267" t="n"/>
      <c r="G12" s="266" t="n"/>
      <c r="H12" s="266" t="n"/>
      <c r="I12" s="266" t="n"/>
      <c r="J12" s="266" t="n"/>
      <c r="K12" s="266" t="n"/>
      <c r="L12" s="266" t="n"/>
      <c r="M12" s="266" t="n"/>
    </row>
    <row r="13" ht="17" customHeight="1">
      <c r="A13" s="266" t="n">
        <v>2</v>
      </c>
      <c r="B13" s="266" t="n"/>
      <c r="C13" s="267" t="n"/>
      <c r="D13" s="267" t="n"/>
      <c r="E13" s="267" t="n"/>
      <c r="F13" s="267" t="n"/>
      <c r="G13" s="266" t="n"/>
      <c r="H13" s="266" t="n"/>
      <c r="I13" s="266" t="n"/>
      <c r="J13" s="266" t="n"/>
      <c r="K13" s="266" t="n"/>
      <c r="L13" s="266" t="n"/>
      <c r="M13" s="266" t="n"/>
    </row>
    <row r="14" ht="17" customHeight="1">
      <c r="A14" s="266" t="n">
        <v>3</v>
      </c>
      <c r="B14" s="266" t="n"/>
      <c r="C14" s="267" t="n"/>
      <c r="D14" s="267" t="n"/>
      <c r="E14" s="267" t="n"/>
      <c r="F14" s="267" t="n"/>
      <c r="G14" s="266" t="n"/>
      <c r="H14" s="266" t="n"/>
      <c r="I14" s="266" t="n"/>
      <c r="J14" s="266" t="n"/>
      <c r="K14" s="266" t="n"/>
      <c r="L14" s="266" t="n"/>
      <c r="M14" s="266" t="n"/>
    </row>
    <row r="15" ht="17" customHeight="1">
      <c r="A15" s="266" t="n">
        <v>4</v>
      </c>
      <c r="B15" s="266" t="n"/>
      <c r="C15" s="267" t="n"/>
      <c r="D15" s="267" t="n"/>
      <c r="E15" s="267" t="n"/>
      <c r="F15" s="267" t="n"/>
      <c r="G15" s="266" t="n"/>
      <c r="H15" s="266" t="n"/>
      <c r="I15" s="266" t="n"/>
      <c r="J15" s="266" t="n"/>
      <c r="K15" s="266" t="n"/>
      <c r="L15" s="266" t="n"/>
      <c r="M15" s="266" t="n"/>
    </row>
    <row r="16" ht="17" customHeight="1">
      <c r="A16" s="266" t="n">
        <v>5</v>
      </c>
      <c r="B16" s="266" t="n"/>
      <c r="C16" s="267" t="n"/>
      <c r="D16" s="267" t="n"/>
      <c r="E16" s="267" t="n"/>
      <c r="F16" s="267" t="n"/>
      <c r="G16" s="266" t="n"/>
      <c r="H16" s="266" t="n"/>
      <c r="I16" s="266" t="n"/>
      <c r="J16" s="266" t="n"/>
      <c r="K16" s="266" t="n"/>
      <c r="L16" s="266" t="n"/>
      <c r="M16" s="266" t="n"/>
    </row>
    <row r="17" ht="17" customHeight="1">
      <c r="A17" s="266" t="n">
        <v>6</v>
      </c>
      <c r="B17" s="266" t="n"/>
      <c r="C17" s="267" t="n"/>
      <c r="D17" s="267" t="n"/>
      <c r="E17" s="267" t="n"/>
      <c r="F17" s="267" t="n"/>
      <c r="G17" s="266" t="n"/>
      <c r="H17" s="266" t="n"/>
      <c r="I17" s="266" t="n"/>
      <c r="J17" s="266" t="n"/>
      <c r="K17" s="266" t="n"/>
      <c r="L17" s="266" t="n"/>
      <c r="M17" s="266" t="n"/>
    </row>
    <row r="18" ht="17" customHeight="1">
      <c r="A18" s="266" t="n">
        <v>7</v>
      </c>
      <c r="B18" s="266" t="n"/>
      <c r="C18" s="267" t="n"/>
      <c r="D18" s="267" t="n"/>
      <c r="E18" s="267" t="n"/>
      <c r="F18" s="267" t="n"/>
      <c r="G18" s="266" t="n"/>
      <c r="H18" s="266" t="n"/>
      <c r="I18" s="266" t="n"/>
      <c r="J18" s="266" t="n"/>
      <c r="K18" s="266" t="n"/>
      <c r="L18" s="266" t="n"/>
      <c r="M18" s="266" t="n"/>
    </row>
    <row r="19" ht="17" customHeight="1">
      <c r="A19" s="266" t="n">
        <v>8</v>
      </c>
      <c r="B19" s="266" t="n"/>
      <c r="C19" s="267" t="n"/>
      <c r="D19" s="267" t="n"/>
      <c r="E19" s="267" t="n"/>
      <c r="F19" s="267" t="n"/>
      <c r="G19" s="266" t="n"/>
      <c r="H19" s="266" t="n"/>
      <c r="I19" s="266" t="n"/>
      <c r="J19" s="266" t="n"/>
      <c r="K19" s="266" t="n"/>
      <c r="L19" s="266" t="n"/>
      <c r="M19" s="266" t="n"/>
    </row>
    <row r="20" ht="17" customHeight="1">
      <c r="A20" s="266" t="n">
        <v>9</v>
      </c>
      <c r="B20" s="266" t="n"/>
      <c r="C20" s="267" t="n"/>
      <c r="D20" s="267" t="n"/>
      <c r="E20" s="267" t="n"/>
      <c r="F20" s="267" t="n"/>
      <c r="G20" s="266" t="n"/>
      <c r="H20" s="266" t="n"/>
      <c r="I20" s="266" t="n"/>
      <c r="J20" s="266" t="n"/>
      <c r="K20" s="266" t="n"/>
      <c r="L20" s="266" t="n"/>
      <c r="M20" s="266" t="n"/>
    </row>
    <row r="21" ht="17" customHeight="1">
      <c r="A21" s="266" t="n">
        <v>10</v>
      </c>
      <c r="B21" s="266" t="n"/>
      <c r="C21" s="267" t="n"/>
      <c r="D21" s="267" t="n"/>
      <c r="E21" s="267" t="n"/>
      <c r="F21" s="267" t="n"/>
      <c r="G21" s="266" t="n"/>
      <c r="H21" s="266" t="n"/>
      <c r="I21" s="266" t="n"/>
      <c r="J21" s="266" t="n"/>
      <c r="K21" s="266" t="n"/>
      <c r="L21" s="266" t="n"/>
      <c r="M21" s="266" t="n"/>
    </row>
    <row r="22" ht="17" customHeight="1">
      <c r="A22" s="266" t="n">
        <v>11</v>
      </c>
      <c r="B22" s="266" t="n"/>
      <c r="C22" s="267" t="n"/>
      <c r="D22" s="267" t="n"/>
      <c r="E22" s="267" t="n"/>
      <c r="F22" s="267" t="n"/>
      <c r="G22" s="266" t="n"/>
      <c r="H22" s="266" t="n"/>
      <c r="I22" s="266" t="n"/>
      <c r="J22" s="266" t="n"/>
      <c r="K22" s="266" t="n"/>
      <c r="L22" s="266" t="n"/>
      <c r="M22" s="266" t="n"/>
    </row>
    <row r="23" ht="20" customHeight="1">
      <c r="A23" s="259" t="inlineStr">
        <is>
          <t>المجموع</t>
        </is>
      </c>
      <c r="B23" s="261" t="n"/>
      <c r="C23" s="268">
        <f>SUM(C12:C22)</f>
        <v/>
      </c>
      <c r="D23" s="269">
        <f>SUM(D12:D22)</f>
        <v/>
      </c>
      <c r="E23" s="268">
        <f>SUM(E12:E22)</f>
        <v/>
      </c>
      <c r="F23" s="269">
        <f>SUM(F12:F22)</f>
        <v/>
      </c>
      <c r="G23" s="270" t="n"/>
      <c r="H23" s="270" t="n"/>
      <c r="I23" s="270" t="n"/>
      <c r="J23" s="270" t="n"/>
      <c r="K23" s="270" t="n"/>
      <c r="L23" s="270" t="n"/>
      <c r="M23" s="270" t="n"/>
    </row>
    <row r="24" ht="20" customHeight="1">
      <c r="A24" s="271" t="inlineStr">
        <is>
          <t>الرصيد</t>
        </is>
      </c>
      <c r="B24" s="261" t="n"/>
      <c r="C24" s="272">
        <f>C7+C23-D23</f>
        <v/>
      </c>
      <c r="D24" s="261" t="n"/>
      <c r="E24" s="272">
        <f>C8+E23-F23</f>
        <v/>
      </c>
      <c r="F24" s="261" t="n"/>
      <c r="G24" s="273" t="n"/>
      <c r="H24" s="273" t="n"/>
      <c r="I24" s="273" t="n"/>
      <c r="J24" s="273" t="n"/>
      <c r="K24" s="273" t="n"/>
      <c r="L24" s="273" t="n"/>
      <c r="M24" s="273" t="n"/>
    </row>
    <row r="25">
      <c r="A25" s="229" t="n"/>
      <c r="B25" s="229" t="n"/>
      <c r="C25" s="229" t="n"/>
      <c r="D25" s="229" t="n"/>
      <c r="E25" s="229" t="n"/>
      <c r="F25" s="229" t="n"/>
      <c r="G25" s="229" t="n"/>
      <c r="H25" s="229" t="n"/>
      <c r="I25" s="229" t="n"/>
      <c r="J25" s="229" t="n"/>
      <c r="K25" s="229" t="n"/>
      <c r="L25" s="229" t="n"/>
      <c r="M25" s="229" t="n"/>
    </row>
    <row r="26" ht="17" customHeight="1">
      <c r="A26" s="274" t="inlineStr">
        <is>
          <t>الرصيد الحالي - دينار</t>
        </is>
      </c>
      <c r="B26" s="261" t="n"/>
      <c r="C26" s="275">
        <f>C24</f>
        <v/>
      </c>
      <c r="D26" s="276" t="inlineStr">
        <is>
          <t xml:space="preserve">      الرصيد الحالي</t>
        </is>
      </c>
      <c r="E26" s="277" t="n"/>
      <c r="F26" s="278" t="n"/>
      <c r="G26" s="276" t="inlineStr">
        <is>
          <t xml:space="preserve">      مجموع الاستيرادات</t>
        </is>
      </c>
      <c r="H26" s="277" t="n"/>
      <c r="I26" s="278" t="n"/>
      <c r="J26" s="276" t="inlineStr">
        <is>
          <t xml:space="preserve">      مجموع المصروفات والسحوبات</t>
        </is>
      </c>
      <c r="K26" s="277" t="n"/>
      <c r="L26" s="278" t="n"/>
      <c r="M26" s="229" t="n"/>
    </row>
    <row r="27" ht="26" customHeight="1">
      <c r="A27" s="274" t="inlineStr">
        <is>
          <t>الرصيد الحالي - دولار</t>
        </is>
      </c>
      <c r="B27" s="261" t="n"/>
      <c r="C27" s="279">
        <f>E24</f>
        <v/>
      </c>
      <c r="D27" s="280">
        <f>C24</f>
        <v/>
      </c>
      <c r="E27" s="277" t="n"/>
      <c r="F27" s="278" t="n"/>
      <c r="G27" s="281">
        <f>C23+E23</f>
        <v/>
      </c>
      <c r="H27" s="277" t="n"/>
      <c r="I27" s="278" t="n"/>
      <c r="J27" s="282">
        <f>D23+F23</f>
        <v/>
      </c>
      <c r="K27" s="277" t="n"/>
      <c r="L27" s="278" t="n"/>
      <c r="M27" s="229" t="n"/>
    </row>
    <row r="28" ht="16" customHeight="1">
      <c r="A28" s="229" t="n"/>
      <c r="B28" s="229" t="n"/>
      <c r="C28" s="229" t="n"/>
      <c r="D28" s="260" t="inlineStr">
        <is>
          <t>الرصيد الحالي = مجموع الاستيرادات − مجموع المصروفات والسحوبات</t>
        </is>
      </c>
      <c r="E28" s="263" t="n"/>
      <c r="F28" s="263" t="n"/>
      <c r="G28" s="263" t="n"/>
      <c r="H28" s="263" t="n"/>
      <c r="I28" s="263" t="n"/>
      <c r="J28" s="263" t="n"/>
      <c r="K28" s="263" t="n"/>
      <c r="L28" s="261" t="n"/>
      <c r="M28" s="229" t="n"/>
    </row>
    <row r="29">
      <c r="A29" s="229" t="n"/>
      <c r="B29" s="229" t="n"/>
      <c r="C29" s="229" t="n"/>
      <c r="D29" s="229" t="n"/>
      <c r="E29" s="229" t="n"/>
      <c r="F29" s="229" t="n"/>
      <c r="G29" s="229" t="n"/>
      <c r="H29" s="229" t="n"/>
      <c r="I29" s="229" t="n"/>
      <c r="J29" s="229" t="n"/>
      <c r="K29" s="229" t="n"/>
      <c r="L29" s="229" t="n"/>
      <c r="M29" s="229" t="n"/>
    </row>
    <row r="30" ht="20" customHeight="1">
      <c r="A30" s="283" t="inlineStr">
        <is>
          <t xml:space="preserve">      ملخص الوصولات</t>
        </is>
      </c>
      <c r="B30" s="263" t="n"/>
      <c r="C30" s="263" t="n"/>
      <c r="D30" s="263" t="n"/>
      <c r="E30" s="263" t="n"/>
      <c r="F30" s="261" t="n"/>
      <c r="G30" s="229" t="n"/>
      <c r="H30" s="283" t="inlineStr">
        <is>
          <t xml:space="preserve">      ملاحظات أمين الصندوق</t>
        </is>
      </c>
      <c r="I30" s="263" t="n"/>
      <c r="J30" s="263" t="n"/>
      <c r="K30" s="263" t="n"/>
      <c r="L30" s="263" t="n"/>
      <c r="M30" s="261" t="n"/>
    </row>
    <row r="31" ht="17" customHeight="1">
      <c r="A31" s="262" t="inlineStr">
        <is>
          <t>ت</t>
        </is>
      </c>
      <c r="B31" s="262" t="inlineStr">
        <is>
          <t>تفاصيل</t>
        </is>
      </c>
      <c r="C31" s="262" t="inlineStr">
        <is>
          <t>العدد</t>
        </is>
      </c>
      <c r="D31" s="262" t="inlineStr">
        <is>
          <t>المجموع</t>
        </is>
      </c>
      <c r="E31" s="270" t="n"/>
      <c r="F31" s="270" t="n"/>
      <c r="G31" s="229" t="n"/>
      <c r="H31" s="284" t="inlineStr">
        <is>
          <t>·  ·  ·  ·  ·  ·  ·  ·  ·  ·  ·  ·  ·  ·  ·  ·  ·  ·  ·  ·  ·  ·  ·  ·</t>
        </is>
      </c>
      <c r="I31" s="263" t="n"/>
      <c r="J31" s="263" t="n"/>
      <c r="K31" s="263" t="n"/>
      <c r="L31" s="263" t="n"/>
      <c r="M31" s="261" t="n"/>
    </row>
    <row r="32" ht="16" customHeight="1">
      <c r="A32" s="232" t="n">
        <v>1</v>
      </c>
      <c r="B32" s="232" t="inlineStr">
        <is>
          <t>وصل قبض</t>
        </is>
      </c>
      <c r="C32" s="232">
        <f>COUNTIF(J12:J22,"قبض")</f>
        <v/>
      </c>
      <c r="D32" s="285">
        <f>C23</f>
        <v/>
      </c>
      <c r="E32" s="232" t="n"/>
      <c r="F32" s="232" t="n"/>
      <c r="G32" s="229" t="n"/>
      <c r="H32" s="284" t="inlineStr">
        <is>
          <t>·  ·  ·  ·  ·  ·  ·  ·  ·  ·  ·  ·  ·  ·  ·  ·  ·  ·  ·  ·  ·  ·  ·  ·</t>
        </is>
      </c>
      <c r="I32" s="263" t="n"/>
      <c r="J32" s="263" t="n"/>
      <c r="K32" s="263" t="n"/>
      <c r="L32" s="263" t="n"/>
      <c r="M32" s="261" t="n"/>
    </row>
    <row r="33" ht="16" customHeight="1">
      <c r="A33" s="232" t="n">
        <v>2</v>
      </c>
      <c r="B33" s="232" t="inlineStr">
        <is>
          <t>قبض مصروف</t>
        </is>
      </c>
      <c r="C33" s="232">
        <f>COUNTIF(J12:J22,"مصروف")</f>
        <v/>
      </c>
      <c r="D33" s="286" t="n">
        <v>0</v>
      </c>
      <c r="E33" s="232" t="n"/>
      <c r="F33" s="232" t="n"/>
      <c r="G33" s="229" t="n"/>
      <c r="H33" s="284" t="inlineStr">
        <is>
          <t>·  ·  ·  ·  ·  ·  ·  ·  ·  ·  ·  ·  ·  ·  ·  ·  ·  ·  ·  ·  ·  ·  ·  ·</t>
        </is>
      </c>
      <c r="I33" s="263" t="n"/>
      <c r="J33" s="263" t="n"/>
      <c r="K33" s="263" t="n"/>
      <c r="L33" s="263" t="n"/>
      <c r="M33" s="261" t="n"/>
    </row>
    <row r="34" ht="16" customHeight="1">
      <c r="A34" s="232" t="n">
        <v>3</v>
      </c>
      <c r="B34" s="232" t="inlineStr">
        <is>
          <t>وصل صرف</t>
        </is>
      </c>
      <c r="C34" s="232">
        <f>COUNTIF(J12:J22,"صرف")</f>
        <v/>
      </c>
      <c r="D34" s="286">
        <f>D23</f>
        <v/>
      </c>
      <c r="E34" s="232" t="n"/>
      <c r="F34" s="232" t="n"/>
      <c r="G34" s="229" t="n"/>
      <c r="H34" s="284" t="inlineStr">
        <is>
          <t>·  ·  ·  ·  ·  ·  ·  ·  ·  ·  ·  ·  ·  ·  ·  ·  ·  ·  ·  ·  ·  ·  ·  ·</t>
        </is>
      </c>
      <c r="I34" s="263" t="n"/>
      <c r="J34" s="263" t="n"/>
      <c r="K34" s="263" t="n"/>
      <c r="L34" s="263" t="n"/>
      <c r="M34" s="261" t="n"/>
    </row>
    <row r="35" ht="16" customHeight="1">
      <c r="A35" s="232" t="n">
        <v>4</v>
      </c>
      <c r="B35" s="232" t="inlineStr">
        <is>
          <t>صرف مصرفي</t>
        </is>
      </c>
      <c r="C35" s="232" t="n">
        <v>0</v>
      </c>
      <c r="D35" s="286" t="n">
        <v>0</v>
      </c>
      <c r="E35" s="232" t="n"/>
      <c r="F35" s="232" t="n"/>
      <c r="G35" s="229" t="n"/>
      <c r="H35" s="284" t="inlineStr">
        <is>
          <t>·  ·  ·  ·  ·  ·  ·  ·  ·  ·  ·  ·  ·  ·  ·  ·  ·  ·  ·  ·  ·  ·  ·  ·</t>
        </is>
      </c>
      <c r="I35" s="263" t="n"/>
      <c r="J35" s="263" t="n"/>
      <c r="K35" s="263" t="n"/>
      <c r="L35" s="263" t="n"/>
      <c r="M35" s="261" t="n"/>
    </row>
    <row r="36" ht="16" customHeight="1">
      <c r="A36" s="232" t="n">
        <v>5</v>
      </c>
      <c r="B36" s="232" t="inlineStr">
        <is>
          <t>وصلات ملغاة</t>
        </is>
      </c>
      <c r="C36" s="232" t="n">
        <v>0</v>
      </c>
      <c r="D36" s="286" t="n">
        <v>0</v>
      </c>
      <c r="E36" s="232" t="n"/>
      <c r="F36" s="232" t="n"/>
      <c r="G36" s="229" t="n"/>
      <c r="H36" s="284" t="inlineStr">
        <is>
          <t>·  ·  ·  ·  ·  ·  ·  ·  ·  ·  ·  ·  ·  ·  ·  ·  ·  ·  ·  ·  ·  ·  ·  ·</t>
        </is>
      </c>
      <c r="I36" s="263" t="n"/>
      <c r="J36" s="263" t="n"/>
      <c r="K36" s="263" t="n"/>
      <c r="L36" s="263" t="n"/>
      <c r="M36" s="261" t="n"/>
    </row>
    <row r="37" ht="16" customHeight="1">
      <c r="A37" s="232" t="n">
        <v>6</v>
      </c>
      <c r="B37" s="232" t="inlineStr">
        <is>
          <t>وصلات باطلة</t>
        </is>
      </c>
      <c r="C37" s="232" t="n">
        <v>0</v>
      </c>
      <c r="D37" s="286" t="n">
        <v>0</v>
      </c>
      <c r="E37" s="232" t="n"/>
      <c r="F37" s="232" t="n"/>
      <c r="G37" s="229" t="n"/>
      <c r="H37" s="284" t="inlineStr">
        <is>
          <t>·  ·  ·  ·  ·  ·  ·  ·  ·  ·  ·  ·  ·  ·  ·  ·  ·  ·  ·  ·  ·  ·  ·  ·</t>
        </is>
      </c>
      <c r="I37" s="263" t="n"/>
      <c r="J37" s="263" t="n"/>
      <c r="K37" s="263" t="n"/>
      <c r="L37" s="263" t="n"/>
      <c r="M37" s="261" t="n"/>
    </row>
    <row r="38" ht="17" customHeight="1">
      <c r="A38" s="260" t="inlineStr">
        <is>
          <t>إجمالي الوصولات</t>
        </is>
      </c>
      <c r="B38" s="261" t="n"/>
      <c r="C38" s="260">
        <f>C32+C33+C34+C35+C36+C37</f>
        <v/>
      </c>
      <c r="D38" s="230" t="inlineStr"/>
      <c r="E38" s="270" t="n"/>
      <c r="F38" s="270" t="n"/>
      <c r="G38" s="229" t="n"/>
      <c r="H38" s="229" t="n"/>
      <c r="I38" s="229" t="n"/>
      <c r="J38" s="229" t="n"/>
      <c r="K38" s="229" t="n"/>
      <c r="L38" s="229" t="n"/>
      <c r="M38" s="229" t="n"/>
    </row>
    <row r="39">
      <c r="A39" s="229" t="n"/>
      <c r="B39" s="229" t="n"/>
      <c r="C39" s="229" t="n"/>
      <c r="D39" s="229" t="n"/>
      <c r="E39" s="229" t="n"/>
      <c r="F39" s="229" t="n"/>
      <c r="G39" s="229" t="n"/>
      <c r="H39" s="229" t="n"/>
      <c r="I39" s="229" t="n"/>
      <c r="J39" s="229" t="n"/>
      <c r="K39" s="229" t="n"/>
      <c r="L39" s="229" t="n"/>
      <c r="M39" s="229" t="n"/>
    </row>
    <row r="40" ht="16" customHeight="1">
      <c r="A40" s="287" t="inlineStr">
        <is>
          <t>أمين الصندوق</t>
        </is>
      </c>
      <c r="B40" s="59" t="n"/>
      <c r="C40" s="59" t="n"/>
      <c r="D40" s="59" t="n"/>
      <c r="E40" s="229" t="n"/>
      <c r="F40" s="229" t="n"/>
      <c r="G40" s="229" t="n"/>
      <c r="H40" s="229" t="n"/>
      <c r="I40" s="28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288" t="inlineStr">
        <is>
          <t>________________</t>
        </is>
      </c>
      <c r="B41" s="59" t="n"/>
      <c r="C41" s="59" t="n"/>
      <c r="D41" s="59" t="n"/>
      <c r="E41" s="229" t="n"/>
      <c r="F41" s="229" t="n"/>
      <c r="G41" s="229" t="n"/>
      <c r="H41" s="229" t="n"/>
      <c r="I41" s="288" t="inlineStr">
        <is>
          <t>________________</t>
        </is>
      </c>
      <c r="J41" s="59" t="n"/>
      <c r="K41" s="59" t="n"/>
      <c r="L41" s="59" t="n"/>
      <c r="M41" s="59" t="n"/>
    </row>
    <row r="42">
      <c r="A42" s="229" t="n"/>
      <c r="B42" s="229" t="n"/>
      <c r="C42" s="229" t="n"/>
      <c r="D42" s="229" t="n"/>
      <c r="E42" s="229" t="n"/>
      <c r="F42" s="229" t="n"/>
      <c r="G42" s="229" t="n"/>
      <c r="H42" s="229" t="n"/>
      <c r="I42" s="229" t="n"/>
      <c r="J42" s="229" t="n"/>
      <c r="K42" s="229" t="n"/>
      <c r="L42" s="229" t="n"/>
      <c r="M42" s="229" t="n"/>
    </row>
    <row r="43">
      <c r="A43" s="229" t="n"/>
      <c r="B43" s="229" t="n"/>
      <c r="C43" s="229" t="n"/>
      <c r="D43" s="229" t="n"/>
      <c r="E43" s="229" t="n"/>
      <c r="F43" s="229" t="n"/>
      <c r="G43" s="229" t="n"/>
      <c r="H43" s="229" t="n"/>
      <c r="I43" s="229" t="n"/>
      <c r="J43" s="229" t="n"/>
      <c r="K43" s="229" t="n"/>
      <c r="L43" s="229" t="n"/>
      <c r="M43" s="229" t="n"/>
    </row>
    <row r="44">
      <c r="A44" s="229" t="n"/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</row>
    <row r="45">
      <c r="A45" s="229" t="n"/>
      <c r="B45" s="229" t="n"/>
      <c r="C45" s="229" t="n"/>
      <c r="D45" s="229" t="n"/>
      <c r="E45" s="229" t="n"/>
      <c r="F45" s="229" t="n"/>
      <c r="G45" s="229" t="n"/>
      <c r="H45" s="229" t="n"/>
      <c r="I45" s="229" t="n"/>
      <c r="J45" s="229" t="n"/>
      <c r="K45" s="229" t="n"/>
      <c r="L45" s="229" t="n"/>
      <c r="M45" s="229" t="n"/>
    </row>
    <row r="46">
      <c r="A46" s="229" t="n"/>
      <c r="B46" s="229" t="n"/>
      <c r="C46" s="229" t="n"/>
      <c r="D46" s="229" t="n"/>
      <c r="E46" s="229" t="n"/>
      <c r="F46" s="229" t="n"/>
      <c r="G46" s="229" t="n"/>
      <c r="H46" s="229" t="n"/>
      <c r="I46" s="229" t="n"/>
      <c r="J46" s="229" t="n"/>
      <c r="K46" s="229" t="n"/>
      <c r="L46" s="229" t="n"/>
      <c r="M46" s="229" t="n"/>
    </row>
    <row r="47">
      <c r="A47" s="229" t="n"/>
      <c r="B47" s="229" t="n"/>
      <c r="C47" s="229" t="n"/>
      <c r="D47" s="229" t="n"/>
      <c r="E47" s="229" t="n"/>
      <c r="F47" s="229" t="n"/>
      <c r="G47" s="229" t="n"/>
      <c r="H47" s="229" t="n"/>
      <c r="I47" s="229" t="n"/>
      <c r="J47" s="229" t="n"/>
      <c r="K47" s="229" t="n"/>
      <c r="L47" s="229" t="n"/>
      <c r="M47" s="229" t="n"/>
    </row>
    <row r="48">
      <c r="A48" s="229" t="n"/>
      <c r="B48" s="229" t="n"/>
      <c r="C48" s="229" t="n"/>
      <c r="D48" s="229" t="n"/>
      <c r="E48" s="229" t="n"/>
      <c r="F48" s="229" t="n"/>
      <c r="G48" s="229" t="n"/>
      <c r="H48" s="229" t="n"/>
      <c r="I48" s="229" t="n"/>
      <c r="J48" s="229" t="n"/>
      <c r="K48" s="229" t="n"/>
      <c r="L48" s="229" t="n"/>
      <c r="M48" s="229" t="n"/>
    </row>
    <row r="49">
      <c r="A49" s="229" t="n"/>
      <c r="B49" s="229" t="n"/>
      <c r="C49" s="229" t="n"/>
      <c r="D49" s="229" t="n"/>
      <c r="E49" s="229" t="n"/>
      <c r="F49" s="229" t="n"/>
      <c r="G49" s="229" t="n"/>
      <c r="H49" s="229" t="n"/>
      <c r="I49" s="229" t="n"/>
      <c r="J49" s="229" t="n"/>
      <c r="K49" s="229" t="n"/>
      <c r="L49" s="229" t="n"/>
      <c r="M49" s="229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289" t="n"/>
      <c r="B1" s="289" t="n"/>
      <c r="C1" s="289" t="n"/>
      <c r="D1" s="289" t="n"/>
      <c r="E1" s="289" t="n"/>
      <c r="F1" s="289" t="n"/>
      <c r="G1" s="289" t="n"/>
      <c r="H1" s="289" t="n"/>
      <c r="I1" s="289" t="n"/>
      <c r="J1" s="289" t="n"/>
      <c r="K1" s="289" t="n"/>
      <c r="L1" s="289" t="n"/>
      <c r="M1" s="289" t="n"/>
    </row>
    <row r="2" ht="18" customHeight="1">
      <c r="A2" s="290" t="n"/>
      <c r="B2" s="291" t="inlineStr">
        <is>
          <t>اليوم</t>
        </is>
      </c>
      <c r="C2" s="292" t="n"/>
      <c r="D2" s="293" t="inlineStr">
        <is>
          <t>التقرير اليومي لصندوق بدور النجف</t>
        </is>
      </c>
      <c r="E2" s="294" t="n"/>
      <c r="F2" s="294" t="n"/>
      <c r="G2" s="294" t="n"/>
      <c r="H2" s="294" t="n"/>
      <c r="I2" s="294" t="n"/>
      <c r="J2" s="295" t="n"/>
      <c r="K2" s="296" t="n"/>
      <c r="L2" s="297" t="n"/>
      <c r="M2" s="298" t="n"/>
    </row>
    <row r="3" ht="18" customHeight="1">
      <c r="A3" s="290" t="n"/>
      <c r="B3" s="291" t="inlineStr">
        <is>
          <t>التاريخ</t>
        </is>
      </c>
      <c r="C3" s="292" t="n"/>
      <c r="D3" s="299" t="n"/>
      <c r="E3" s="59" t="n"/>
      <c r="F3" s="59" t="n"/>
      <c r="G3" s="59" t="n"/>
      <c r="H3" s="59" t="n"/>
      <c r="I3" s="59" t="n"/>
      <c r="J3" s="300" t="n"/>
      <c r="K3" s="301" t="n"/>
      <c r="L3" s="59" t="n"/>
      <c r="M3" s="302" t="n"/>
    </row>
    <row r="4" ht="18" customHeight="1">
      <c r="A4" s="290" t="n"/>
      <c r="B4" s="291" t="inlineStr">
        <is>
          <t>أمين الصندوق</t>
        </is>
      </c>
      <c r="C4" s="292" t="n"/>
      <c r="D4" s="299" t="n"/>
      <c r="E4" s="59" t="n"/>
      <c r="F4" s="59" t="n"/>
      <c r="G4" s="59" t="n"/>
      <c r="H4" s="59" t="n"/>
      <c r="I4" s="59" t="n"/>
      <c r="J4" s="300" t="n"/>
      <c r="K4" s="301" t="n"/>
      <c r="L4" s="59" t="n"/>
      <c r="M4" s="302" t="n"/>
    </row>
    <row r="5" ht="18" customHeight="1">
      <c r="A5" s="290" t="n"/>
      <c r="B5" s="291" t="inlineStr">
        <is>
          <t>سلم التقرير</t>
        </is>
      </c>
      <c r="C5" s="292" t="n"/>
      <c r="D5" s="303" t="n"/>
      <c r="E5" s="304" t="n"/>
      <c r="F5" s="304" t="n"/>
      <c r="G5" s="304" t="n"/>
      <c r="H5" s="304" t="n"/>
      <c r="I5" s="304" t="n"/>
      <c r="J5" s="305" t="n"/>
      <c r="K5" s="301" t="n"/>
      <c r="L5" s="59" t="n"/>
      <c r="M5" s="302" t="n"/>
    </row>
    <row r="6" ht="18" customHeight="1">
      <c r="A6" s="290" t="n"/>
      <c r="B6" s="291" t="inlineStr">
        <is>
          <t>اسم صندوق اليوم</t>
        </is>
      </c>
      <c r="C6" s="306" t="inlineStr">
        <is>
          <t>بدور النجف</t>
        </is>
      </c>
      <c r="D6" s="290" t="n"/>
      <c r="E6" s="307" t="n"/>
      <c r="F6" s="307" t="n"/>
      <c r="G6" s="307" t="n"/>
      <c r="H6" s="307" t="n"/>
      <c r="I6" s="307" t="n"/>
      <c r="J6" s="308" t="n"/>
      <c r="K6" s="301" t="n"/>
      <c r="L6" s="59" t="n"/>
      <c r="M6" s="302" t="n"/>
    </row>
    <row r="7" ht="18" customHeight="1">
      <c r="A7" s="290" t="n"/>
      <c r="B7" s="291" t="inlineStr">
        <is>
          <t>الرصيد السابق - دينار</t>
        </is>
      </c>
      <c r="C7" s="309" t="n">
        <v>0</v>
      </c>
      <c r="D7" s="310" t="n"/>
      <c r="E7" s="59" t="n"/>
      <c r="F7" s="59" t="n"/>
      <c r="G7" s="59" t="n"/>
      <c r="H7" s="59" t="n"/>
      <c r="I7" s="59" t="n"/>
      <c r="J7" s="311" t="n"/>
      <c r="K7" s="301" t="n"/>
      <c r="L7" s="59" t="n"/>
      <c r="M7" s="302" t="n"/>
    </row>
    <row r="8" ht="18" customHeight="1">
      <c r="A8" s="290" t="n"/>
      <c r="B8" s="291" t="inlineStr">
        <is>
          <t>الرصيد السابق - دولار</t>
        </is>
      </c>
      <c r="C8" s="312" t="n">
        <v>0</v>
      </c>
      <c r="D8" s="313" t="n"/>
      <c r="E8" s="314" t="n"/>
      <c r="F8" s="314" t="n"/>
      <c r="G8" s="314" t="n"/>
      <c r="H8" s="314" t="n"/>
      <c r="I8" s="314" t="n"/>
      <c r="J8" s="315" t="n"/>
      <c r="K8" s="316" t="n"/>
      <c r="L8" s="317" t="n"/>
      <c r="M8" s="318" t="n"/>
    </row>
    <row r="9" ht="5" customHeight="1">
      <c r="A9" s="289" t="n"/>
      <c r="B9" s="289" t="n"/>
      <c r="C9" s="289" t="n"/>
      <c r="D9" s="289" t="n"/>
      <c r="E9" s="289" t="n"/>
      <c r="F9" s="289" t="n"/>
      <c r="G9" s="289" t="n"/>
      <c r="H9" s="289" t="n"/>
      <c r="I9" s="289" t="n"/>
      <c r="J9" s="289" t="n"/>
      <c r="K9" s="289" t="n"/>
      <c r="L9" s="289" t="n"/>
      <c r="M9" s="289" t="n"/>
    </row>
    <row r="10" ht="20" customHeight="1">
      <c r="A10" s="319" t="inlineStr">
        <is>
          <t>ت</t>
        </is>
      </c>
      <c r="B10" s="320" t="inlineStr">
        <is>
          <t>التفاصيل</t>
        </is>
      </c>
      <c r="C10" s="320" t="inlineStr">
        <is>
          <t>صندوق - الدينار</t>
        </is>
      </c>
      <c r="D10" s="321" t="n"/>
      <c r="E10" s="320" t="inlineStr">
        <is>
          <t>صندوق - الدولار</t>
        </is>
      </c>
      <c r="F10" s="321" t="n"/>
      <c r="G10" s="322" t="inlineStr">
        <is>
          <t>رقم المستند</t>
        </is>
      </c>
      <c r="H10" s="322" t="inlineStr">
        <is>
          <t>اسم الحساب العميل</t>
        </is>
      </c>
      <c r="I10" s="322" t="inlineStr">
        <is>
          <t>رقم الحركة المالية</t>
        </is>
      </c>
      <c r="J10" s="320" t="inlineStr">
        <is>
          <t>المستندات</t>
        </is>
      </c>
      <c r="K10" s="323" t="n"/>
      <c r="L10" s="321" t="n"/>
      <c r="M10" s="322" t="inlineStr">
        <is>
          <t>التفاصيل</t>
        </is>
      </c>
    </row>
    <row r="11" ht="18" customHeight="1">
      <c r="A11" s="324" t="n"/>
      <c r="B11" s="324" t="n"/>
      <c r="C11" s="325" t="inlineStr">
        <is>
          <t>متنوعات</t>
        </is>
      </c>
      <c r="D11" s="325" t="inlineStr">
        <is>
          <t>مصروفات</t>
        </is>
      </c>
      <c r="E11" s="325" t="inlineStr">
        <is>
          <t>متنوعات</t>
        </is>
      </c>
      <c r="F11" s="325" t="inlineStr">
        <is>
          <t>مصروفات</t>
        </is>
      </c>
      <c r="G11" s="324" t="n"/>
      <c r="H11" s="324" t="n"/>
      <c r="I11" s="324" t="n"/>
      <c r="J11" s="325" t="inlineStr">
        <is>
          <t>نوع المستند</t>
        </is>
      </c>
      <c r="K11" s="325" t="inlineStr">
        <is>
          <t>تسلسل</t>
        </is>
      </c>
      <c r="L11" s="325" t="inlineStr">
        <is>
          <t>رقم المستند</t>
        </is>
      </c>
      <c r="M11" s="324" t="n"/>
    </row>
    <row r="12" ht="17" customHeight="1">
      <c r="A12" s="326" t="n">
        <v>1</v>
      </c>
      <c r="B12" s="326" t="n"/>
      <c r="C12" s="327" t="n"/>
      <c r="D12" s="327" t="n"/>
      <c r="E12" s="327" t="n"/>
      <c r="F12" s="327" t="n"/>
      <c r="G12" s="326" t="n"/>
      <c r="H12" s="326" t="n"/>
      <c r="I12" s="326" t="n"/>
      <c r="J12" s="326" t="n"/>
      <c r="K12" s="326" t="n"/>
      <c r="L12" s="326" t="n"/>
      <c r="M12" s="326" t="n"/>
    </row>
    <row r="13" ht="17" customHeight="1">
      <c r="A13" s="326" t="n">
        <v>2</v>
      </c>
      <c r="B13" s="326" t="n"/>
      <c r="C13" s="327" t="n"/>
      <c r="D13" s="327" t="n"/>
      <c r="E13" s="327" t="n"/>
      <c r="F13" s="327" t="n"/>
      <c r="G13" s="326" t="n"/>
      <c r="H13" s="326" t="n"/>
      <c r="I13" s="326" t="n"/>
      <c r="J13" s="326" t="n"/>
      <c r="K13" s="326" t="n"/>
      <c r="L13" s="326" t="n"/>
      <c r="M13" s="326" t="n"/>
    </row>
    <row r="14" ht="17" customHeight="1">
      <c r="A14" s="326" t="n">
        <v>3</v>
      </c>
      <c r="B14" s="326" t="n"/>
      <c r="C14" s="327" t="n"/>
      <c r="D14" s="327" t="n"/>
      <c r="E14" s="327" t="n"/>
      <c r="F14" s="327" t="n"/>
      <c r="G14" s="326" t="n"/>
      <c r="H14" s="326" t="n"/>
      <c r="I14" s="326" t="n"/>
      <c r="J14" s="326" t="n"/>
      <c r="K14" s="326" t="n"/>
      <c r="L14" s="326" t="n"/>
      <c r="M14" s="326" t="n"/>
    </row>
    <row r="15" ht="17" customHeight="1">
      <c r="A15" s="326" t="n">
        <v>4</v>
      </c>
      <c r="B15" s="326" t="n"/>
      <c r="C15" s="327" t="n"/>
      <c r="D15" s="327" t="n"/>
      <c r="E15" s="327" t="n"/>
      <c r="F15" s="327" t="n"/>
      <c r="G15" s="326" t="n"/>
      <c r="H15" s="326" t="n"/>
      <c r="I15" s="326" t="n"/>
      <c r="J15" s="326" t="n"/>
      <c r="K15" s="326" t="n"/>
      <c r="L15" s="326" t="n"/>
      <c r="M15" s="326" t="n"/>
    </row>
    <row r="16" ht="17" customHeight="1">
      <c r="A16" s="326" t="n">
        <v>5</v>
      </c>
      <c r="B16" s="326" t="n"/>
      <c r="C16" s="327" t="n"/>
      <c r="D16" s="327" t="n"/>
      <c r="E16" s="327" t="n"/>
      <c r="F16" s="327" t="n"/>
      <c r="G16" s="326" t="n"/>
      <c r="H16" s="326" t="n"/>
      <c r="I16" s="326" t="n"/>
      <c r="J16" s="326" t="n"/>
      <c r="K16" s="326" t="n"/>
      <c r="L16" s="326" t="n"/>
      <c r="M16" s="326" t="n"/>
    </row>
    <row r="17" ht="17" customHeight="1">
      <c r="A17" s="326" t="n">
        <v>6</v>
      </c>
      <c r="B17" s="326" t="n"/>
      <c r="C17" s="327" t="n"/>
      <c r="D17" s="327" t="n"/>
      <c r="E17" s="327" t="n"/>
      <c r="F17" s="327" t="n"/>
      <c r="G17" s="326" t="n"/>
      <c r="H17" s="326" t="n"/>
      <c r="I17" s="326" t="n"/>
      <c r="J17" s="326" t="n"/>
      <c r="K17" s="326" t="n"/>
      <c r="L17" s="326" t="n"/>
      <c r="M17" s="326" t="n"/>
    </row>
    <row r="18" ht="17" customHeight="1">
      <c r="A18" s="326" t="n">
        <v>7</v>
      </c>
      <c r="B18" s="326" t="n"/>
      <c r="C18" s="327" t="n"/>
      <c r="D18" s="327" t="n"/>
      <c r="E18" s="327" t="n"/>
      <c r="F18" s="327" t="n"/>
      <c r="G18" s="326" t="n"/>
      <c r="H18" s="326" t="n"/>
      <c r="I18" s="326" t="n"/>
      <c r="J18" s="326" t="n"/>
      <c r="K18" s="326" t="n"/>
      <c r="L18" s="326" t="n"/>
      <c r="M18" s="326" t="n"/>
    </row>
    <row r="19" ht="17" customHeight="1">
      <c r="A19" s="326" t="n">
        <v>8</v>
      </c>
      <c r="B19" s="326" t="n"/>
      <c r="C19" s="327" t="n"/>
      <c r="D19" s="327" t="n"/>
      <c r="E19" s="327" t="n"/>
      <c r="F19" s="327" t="n"/>
      <c r="G19" s="326" t="n"/>
      <c r="H19" s="326" t="n"/>
      <c r="I19" s="326" t="n"/>
      <c r="J19" s="326" t="n"/>
      <c r="K19" s="326" t="n"/>
      <c r="L19" s="326" t="n"/>
      <c r="M19" s="326" t="n"/>
    </row>
    <row r="20" ht="17" customHeight="1">
      <c r="A20" s="326" t="n">
        <v>9</v>
      </c>
      <c r="B20" s="326" t="n"/>
      <c r="C20" s="327" t="n"/>
      <c r="D20" s="327" t="n"/>
      <c r="E20" s="327" t="n"/>
      <c r="F20" s="327" t="n"/>
      <c r="G20" s="326" t="n"/>
      <c r="H20" s="326" t="n"/>
      <c r="I20" s="326" t="n"/>
      <c r="J20" s="326" t="n"/>
      <c r="K20" s="326" t="n"/>
      <c r="L20" s="326" t="n"/>
      <c r="M20" s="326" t="n"/>
    </row>
    <row r="21" ht="17" customHeight="1">
      <c r="A21" s="326" t="n">
        <v>10</v>
      </c>
      <c r="B21" s="326" t="n"/>
      <c r="C21" s="327" t="n"/>
      <c r="D21" s="327" t="n"/>
      <c r="E21" s="327" t="n"/>
      <c r="F21" s="327" t="n"/>
      <c r="G21" s="326" t="n"/>
      <c r="H21" s="326" t="n"/>
      <c r="I21" s="326" t="n"/>
      <c r="J21" s="326" t="n"/>
      <c r="K21" s="326" t="n"/>
      <c r="L21" s="326" t="n"/>
      <c r="M21" s="326" t="n"/>
    </row>
    <row r="22" ht="17" customHeight="1">
      <c r="A22" s="326" t="n">
        <v>11</v>
      </c>
      <c r="B22" s="326" t="n"/>
      <c r="C22" s="327" t="n"/>
      <c r="D22" s="327" t="n"/>
      <c r="E22" s="327" t="n"/>
      <c r="F22" s="327" t="n"/>
      <c r="G22" s="326" t="n"/>
      <c r="H22" s="326" t="n"/>
      <c r="I22" s="326" t="n"/>
      <c r="J22" s="326" t="n"/>
      <c r="K22" s="326" t="n"/>
      <c r="L22" s="326" t="n"/>
      <c r="M22" s="326" t="n"/>
    </row>
    <row r="23" ht="20" customHeight="1">
      <c r="A23" s="319" t="inlineStr">
        <is>
          <t>المجموع</t>
        </is>
      </c>
      <c r="B23" s="321" t="n"/>
      <c r="C23" s="328">
        <f>SUM(C12:C22)</f>
        <v/>
      </c>
      <c r="D23" s="329">
        <f>SUM(D12:D22)</f>
        <v/>
      </c>
      <c r="E23" s="328">
        <f>SUM(E12:E22)</f>
        <v/>
      </c>
      <c r="F23" s="329">
        <f>SUM(F12:F22)</f>
        <v/>
      </c>
      <c r="G23" s="330" t="n"/>
      <c r="H23" s="330" t="n"/>
      <c r="I23" s="330" t="n"/>
      <c r="J23" s="330" t="n"/>
      <c r="K23" s="330" t="n"/>
      <c r="L23" s="330" t="n"/>
      <c r="M23" s="330" t="n"/>
    </row>
    <row r="24" ht="20" customHeight="1">
      <c r="A24" s="331" t="inlineStr">
        <is>
          <t>الرصيد</t>
        </is>
      </c>
      <c r="B24" s="321" t="n"/>
      <c r="C24" s="332">
        <f>C7+C23-D23</f>
        <v/>
      </c>
      <c r="D24" s="321" t="n"/>
      <c r="E24" s="332">
        <f>C8+E23-F23</f>
        <v/>
      </c>
      <c r="F24" s="321" t="n"/>
      <c r="G24" s="333" t="n"/>
      <c r="H24" s="333" t="n"/>
      <c r="I24" s="333" t="n"/>
      <c r="J24" s="333" t="n"/>
      <c r="K24" s="333" t="n"/>
      <c r="L24" s="333" t="n"/>
      <c r="M24" s="333" t="n"/>
    </row>
    <row r="25">
      <c r="A25" s="289" t="n"/>
      <c r="B25" s="289" t="n"/>
      <c r="C25" s="289" t="n"/>
      <c r="D25" s="289" t="n"/>
      <c r="E25" s="289" t="n"/>
      <c r="F25" s="289" t="n"/>
      <c r="G25" s="289" t="n"/>
      <c r="H25" s="289" t="n"/>
      <c r="I25" s="289" t="n"/>
      <c r="J25" s="289" t="n"/>
      <c r="K25" s="289" t="n"/>
      <c r="L25" s="289" t="n"/>
      <c r="M25" s="289" t="n"/>
    </row>
    <row r="26" ht="17" customHeight="1">
      <c r="A26" s="334" t="inlineStr">
        <is>
          <t>الرصيد الحالي - دينار</t>
        </is>
      </c>
      <c r="B26" s="321" t="n"/>
      <c r="C26" s="335">
        <f>C24</f>
        <v/>
      </c>
      <c r="D26" s="336" t="inlineStr">
        <is>
          <t xml:space="preserve">      الرصيد الحالي</t>
        </is>
      </c>
      <c r="E26" s="337" t="n"/>
      <c r="F26" s="338" t="n"/>
      <c r="G26" s="336" t="inlineStr">
        <is>
          <t xml:space="preserve">      مجموع الاستيرادات</t>
        </is>
      </c>
      <c r="H26" s="337" t="n"/>
      <c r="I26" s="338" t="n"/>
      <c r="J26" s="336" t="inlineStr">
        <is>
          <t xml:space="preserve">      مجموع المصروفات والسحوبات</t>
        </is>
      </c>
      <c r="K26" s="337" t="n"/>
      <c r="L26" s="338" t="n"/>
      <c r="M26" s="289" t="n"/>
    </row>
    <row r="27" ht="26" customHeight="1">
      <c r="A27" s="334" t="inlineStr">
        <is>
          <t>الرصيد الحالي - دولار</t>
        </is>
      </c>
      <c r="B27" s="321" t="n"/>
      <c r="C27" s="339">
        <f>E24</f>
        <v/>
      </c>
      <c r="D27" s="340">
        <f>C24</f>
        <v/>
      </c>
      <c r="E27" s="337" t="n"/>
      <c r="F27" s="338" t="n"/>
      <c r="G27" s="341">
        <f>C23+E23</f>
        <v/>
      </c>
      <c r="H27" s="337" t="n"/>
      <c r="I27" s="338" t="n"/>
      <c r="J27" s="342">
        <f>D23+F23</f>
        <v/>
      </c>
      <c r="K27" s="337" t="n"/>
      <c r="L27" s="338" t="n"/>
      <c r="M27" s="289" t="n"/>
    </row>
    <row r="28" ht="16" customHeight="1">
      <c r="A28" s="289" t="n"/>
      <c r="B28" s="289" t="n"/>
      <c r="C28" s="289" t="n"/>
      <c r="D28" s="320" t="inlineStr">
        <is>
          <t>الرصيد الحالي = مجموع الاستيرادات − مجموع المصروفات والسحوبات</t>
        </is>
      </c>
      <c r="E28" s="323" t="n"/>
      <c r="F28" s="323" t="n"/>
      <c r="G28" s="323" t="n"/>
      <c r="H28" s="323" t="n"/>
      <c r="I28" s="323" t="n"/>
      <c r="J28" s="323" t="n"/>
      <c r="K28" s="323" t="n"/>
      <c r="L28" s="321" t="n"/>
      <c r="M28" s="289" t="n"/>
    </row>
    <row r="29">
      <c r="A29" s="289" t="n"/>
      <c r="B29" s="289" t="n"/>
      <c r="C29" s="289" t="n"/>
      <c r="D29" s="289" t="n"/>
      <c r="E29" s="289" t="n"/>
      <c r="F29" s="289" t="n"/>
      <c r="G29" s="289" t="n"/>
      <c r="H29" s="289" t="n"/>
      <c r="I29" s="289" t="n"/>
      <c r="J29" s="289" t="n"/>
      <c r="K29" s="289" t="n"/>
      <c r="L29" s="289" t="n"/>
      <c r="M29" s="289" t="n"/>
    </row>
    <row r="30" ht="20" customHeight="1">
      <c r="A30" s="343" t="inlineStr">
        <is>
          <t xml:space="preserve">      ملخص الوصولات</t>
        </is>
      </c>
      <c r="B30" s="323" t="n"/>
      <c r="C30" s="323" t="n"/>
      <c r="D30" s="323" t="n"/>
      <c r="E30" s="323" t="n"/>
      <c r="F30" s="321" t="n"/>
      <c r="G30" s="289" t="n"/>
      <c r="H30" s="343" t="inlineStr">
        <is>
          <t xml:space="preserve">      ملاحظات أمين الصندوق</t>
        </is>
      </c>
      <c r="I30" s="323" t="n"/>
      <c r="J30" s="323" t="n"/>
      <c r="K30" s="323" t="n"/>
      <c r="L30" s="323" t="n"/>
      <c r="M30" s="321" t="n"/>
    </row>
    <row r="31" ht="17" customHeight="1">
      <c r="A31" s="322" t="inlineStr">
        <is>
          <t>ت</t>
        </is>
      </c>
      <c r="B31" s="322" t="inlineStr">
        <is>
          <t>تفاصيل</t>
        </is>
      </c>
      <c r="C31" s="322" t="inlineStr">
        <is>
          <t>العدد</t>
        </is>
      </c>
      <c r="D31" s="322" t="inlineStr">
        <is>
          <t>المجموع</t>
        </is>
      </c>
      <c r="E31" s="330" t="n"/>
      <c r="F31" s="330" t="n"/>
      <c r="G31" s="289" t="n"/>
      <c r="H31" s="344" t="inlineStr">
        <is>
          <t>·  ·  ·  ·  ·  ·  ·  ·  ·  ·  ·  ·  ·  ·  ·  ·  ·  ·  ·  ·  ·  ·  ·  ·</t>
        </is>
      </c>
      <c r="I31" s="323" t="n"/>
      <c r="J31" s="323" t="n"/>
      <c r="K31" s="323" t="n"/>
      <c r="L31" s="323" t="n"/>
      <c r="M31" s="321" t="n"/>
    </row>
    <row r="32" ht="16" customHeight="1">
      <c r="A32" s="292" t="n">
        <v>1</v>
      </c>
      <c r="B32" s="292" t="inlineStr">
        <is>
          <t>وصل قبض</t>
        </is>
      </c>
      <c r="C32" s="292">
        <f>COUNTIF(J12:J22,"قبض")</f>
        <v/>
      </c>
      <c r="D32" s="345">
        <f>C23</f>
        <v/>
      </c>
      <c r="E32" s="292" t="n"/>
      <c r="F32" s="292" t="n"/>
      <c r="G32" s="289" t="n"/>
      <c r="H32" s="344" t="inlineStr">
        <is>
          <t>·  ·  ·  ·  ·  ·  ·  ·  ·  ·  ·  ·  ·  ·  ·  ·  ·  ·  ·  ·  ·  ·  ·  ·</t>
        </is>
      </c>
      <c r="I32" s="323" t="n"/>
      <c r="J32" s="323" t="n"/>
      <c r="K32" s="323" t="n"/>
      <c r="L32" s="323" t="n"/>
      <c r="M32" s="321" t="n"/>
    </row>
    <row r="33" ht="16" customHeight="1">
      <c r="A33" s="292" t="n">
        <v>2</v>
      </c>
      <c r="B33" s="292" t="inlineStr">
        <is>
          <t>قبض مصروف</t>
        </is>
      </c>
      <c r="C33" s="292">
        <f>COUNTIF(J12:J22,"مصروف")</f>
        <v/>
      </c>
      <c r="D33" s="346" t="n">
        <v>0</v>
      </c>
      <c r="E33" s="292" t="n"/>
      <c r="F33" s="292" t="n"/>
      <c r="G33" s="289" t="n"/>
      <c r="H33" s="344" t="inlineStr">
        <is>
          <t>·  ·  ·  ·  ·  ·  ·  ·  ·  ·  ·  ·  ·  ·  ·  ·  ·  ·  ·  ·  ·  ·  ·  ·</t>
        </is>
      </c>
      <c r="I33" s="323" t="n"/>
      <c r="J33" s="323" t="n"/>
      <c r="K33" s="323" t="n"/>
      <c r="L33" s="323" t="n"/>
      <c r="M33" s="321" t="n"/>
    </row>
    <row r="34" ht="16" customHeight="1">
      <c r="A34" s="292" t="n">
        <v>3</v>
      </c>
      <c r="B34" s="292" t="inlineStr">
        <is>
          <t>وصل صرف</t>
        </is>
      </c>
      <c r="C34" s="292">
        <f>COUNTIF(J12:J22,"صرف")</f>
        <v/>
      </c>
      <c r="D34" s="346">
        <f>D23</f>
        <v/>
      </c>
      <c r="E34" s="292" t="n"/>
      <c r="F34" s="292" t="n"/>
      <c r="G34" s="289" t="n"/>
      <c r="H34" s="344" t="inlineStr">
        <is>
          <t>·  ·  ·  ·  ·  ·  ·  ·  ·  ·  ·  ·  ·  ·  ·  ·  ·  ·  ·  ·  ·  ·  ·  ·</t>
        </is>
      </c>
      <c r="I34" s="323" t="n"/>
      <c r="J34" s="323" t="n"/>
      <c r="K34" s="323" t="n"/>
      <c r="L34" s="323" t="n"/>
      <c r="M34" s="321" t="n"/>
    </row>
    <row r="35" ht="16" customHeight="1">
      <c r="A35" s="292" t="n">
        <v>4</v>
      </c>
      <c r="B35" s="292" t="inlineStr">
        <is>
          <t>صرف مصرفي</t>
        </is>
      </c>
      <c r="C35" s="292" t="n">
        <v>0</v>
      </c>
      <c r="D35" s="346" t="n">
        <v>0</v>
      </c>
      <c r="E35" s="292" t="n"/>
      <c r="F35" s="292" t="n"/>
      <c r="G35" s="289" t="n"/>
      <c r="H35" s="344" t="inlineStr">
        <is>
          <t>·  ·  ·  ·  ·  ·  ·  ·  ·  ·  ·  ·  ·  ·  ·  ·  ·  ·  ·  ·  ·  ·  ·  ·</t>
        </is>
      </c>
      <c r="I35" s="323" t="n"/>
      <c r="J35" s="323" t="n"/>
      <c r="K35" s="323" t="n"/>
      <c r="L35" s="323" t="n"/>
      <c r="M35" s="321" t="n"/>
    </row>
    <row r="36" ht="16" customHeight="1">
      <c r="A36" s="292" t="n">
        <v>5</v>
      </c>
      <c r="B36" s="292" t="inlineStr">
        <is>
          <t>وصلات ملغاة</t>
        </is>
      </c>
      <c r="C36" s="292" t="n">
        <v>0</v>
      </c>
      <c r="D36" s="346" t="n">
        <v>0</v>
      </c>
      <c r="E36" s="292" t="n"/>
      <c r="F36" s="292" t="n"/>
      <c r="G36" s="289" t="n"/>
      <c r="H36" s="344" t="inlineStr">
        <is>
          <t>·  ·  ·  ·  ·  ·  ·  ·  ·  ·  ·  ·  ·  ·  ·  ·  ·  ·  ·  ·  ·  ·  ·  ·</t>
        </is>
      </c>
      <c r="I36" s="323" t="n"/>
      <c r="J36" s="323" t="n"/>
      <c r="K36" s="323" t="n"/>
      <c r="L36" s="323" t="n"/>
      <c r="M36" s="321" t="n"/>
    </row>
    <row r="37" ht="16" customHeight="1">
      <c r="A37" s="292" t="n">
        <v>6</v>
      </c>
      <c r="B37" s="292" t="inlineStr">
        <is>
          <t>وصلات باطلة</t>
        </is>
      </c>
      <c r="C37" s="292" t="n">
        <v>0</v>
      </c>
      <c r="D37" s="346" t="n">
        <v>0</v>
      </c>
      <c r="E37" s="292" t="n"/>
      <c r="F37" s="292" t="n"/>
      <c r="G37" s="289" t="n"/>
      <c r="H37" s="344" t="inlineStr">
        <is>
          <t>·  ·  ·  ·  ·  ·  ·  ·  ·  ·  ·  ·  ·  ·  ·  ·  ·  ·  ·  ·  ·  ·  ·  ·</t>
        </is>
      </c>
      <c r="I37" s="323" t="n"/>
      <c r="J37" s="323" t="n"/>
      <c r="K37" s="323" t="n"/>
      <c r="L37" s="323" t="n"/>
      <c r="M37" s="321" t="n"/>
    </row>
    <row r="38" ht="17" customHeight="1">
      <c r="A38" s="320" t="inlineStr">
        <is>
          <t>إجمالي الوصولات</t>
        </is>
      </c>
      <c r="B38" s="321" t="n"/>
      <c r="C38" s="320">
        <f>C32+C33+C34+C35+C36+C37</f>
        <v/>
      </c>
      <c r="D38" s="290" t="inlineStr"/>
      <c r="E38" s="330" t="n"/>
      <c r="F38" s="330" t="n"/>
      <c r="G38" s="289" t="n"/>
      <c r="H38" s="289" t="n"/>
      <c r="I38" s="289" t="n"/>
      <c r="J38" s="289" t="n"/>
      <c r="K38" s="289" t="n"/>
      <c r="L38" s="289" t="n"/>
      <c r="M38" s="289" t="n"/>
    </row>
    <row r="39">
      <c r="A39" s="289" t="n"/>
      <c r="B39" s="289" t="n"/>
      <c r="C39" s="289" t="n"/>
      <c r="D39" s="289" t="n"/>
      <c r="E39" s="289" t="n"/>
      <c r="F39" s="289" t="n"/>
      <c r="G39" s="289" t="n"/>
      <c r="H39" s="289" t="n"/>
      <c r="I39" s="289" t="n"/>
      <c r="J39" s="289" t="n"/>
      <c r="K39" s="289" t="n"/>
      <c r="L39" s="289" t="n"/>
      <c r="M39" s="289" t="n"/>
    </row>
    <row r="40" ht="16" customHeight="1">
      <c r="A40" s="347" t="inlineStr">
        <is>
          <t>أمين الصندوق</t>
        </is>
      </c>
      <c r="B40" s="59" t="n"/>
      <c r="C40" s="59" t="n"/>
      <c r="D40" s="59" t="n"/>
      <c r="E40" s="289" t="n"/>
      <c r="F40" s="289" t="n"/>
      <c r="G40" s="289" t="n"/>
      <c r="H40" s="289" t="n"/>
      <c r="I40" s="34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348" t="inlineStr">
        <is>
          <t>________________</t>
        </is>
      </c>
      <c r="B41" s="59" t="n"/>
      <c r="C41" s="59" t="n"/>
      <c r="D41" s="59" t="n"/>
      <c r="E41" s="289" t="n"/>
      <c r="F41" s="289" t="n"/>
      <c r="G41" s="289" t="n"/>
      <c r="H41" s="289" t="n"/>
      <c r="I41" s="348" t="inlineStr">
        <is>
          <t>________________</t>
        </is>
      </c>
      <c r="J41" s="59" t="n"/>
      <c r="K41" s="59" t="n"/>
      <c r="L41" s="59" t="n"/>
      <c r="M41" s="59" t="n"/>
    </row>
    <row r="42">
      <c r="A42" s="289" t="n"/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</row>
    <row r="43">
      <c r="A43" s="289" t="n"/>
      <c r="B43" s="289" t="n"/>
      <c r="C43" s="289" t="n"/>
      <c r="D43" s="289" t="n"/>
      <c r="E43" s="289" t="n"/>
      <c r="F43" s="289" t="n"/>
      <c r="G43" s="289" t="n"/>
      <c r="H43" s="289" t="n"/>
      <c r="I43" s="289" t="n"/>
      <c r="J43" s="289" t="n"/>
      <c r="K43" s="289" t="n"/>
      <c r="L43" s="289" t="n"/>
      <c r="M43" s="289" t="n"/>
    </row>
    <row r="44">
      <c r="A44" s="289" t="n"/>
      <c r="B44" s="289" t="n"/>
      <c r="C44" s="289" t="n"/>
      <c r="D44" s="289" t="n"/>
      <c r="E44" s="289" t="n"/>
      <c r="F44" s="289" t="n"/>
      <c r="G44" s="289" t="n"/>
      <c r="H44" s="289" t="n"/>
      <c r="I44" s="289" t="n"/>
      <c r="J44" s="289" t="n"/>
      <c r="K44" s="289" t="n"/>
      <c r="L44" s="289" t="n"/>
      <c r="M44" s="289" t="n"/>
    </row>
    <row r="45">
      <c r="A45" s="289" t="n"/>
      <c r="B45" s="289" t="n"/>
      <c r="C45" s="289" t="n"/>
      <c r="D45" s="289" t="n"/>
      <c r="E45" s="289" t="n"/>
      <c r="F45" s="289" t="n"/>
      <c r="G45" s="289" t="n"/>
      <c r="H45" s="289" t="n"/>
      <c r="I45" s="289" t="n"/>
      <c r="J45" s="289" t="n"/>
      <c r="K45" s="289" t="n"/>
      <c r="L45" s="289" t="n"/>
      <c r="M45" s="289" t="n"/>
    </row>
    <row r="46">
      <c r="A46" s="289" t="n"/>
      <c r="B46" s="289" t="n"/>
      <c r="C46" s="289" t="n"/>
      <c r="D46" s="289" t="n"/>
      <c r="E46" s="289" t="n"/>
      <c r="F46" s="289" t="n"/>
      <c r="G46" s="289" t="n"/>
      <c r="H46" s="289" t="n"/>
      <c r="I46" s="289" t="n"/>
      <c r="J46" s="289" t="n"/>
      <c r="K46" s="289" t="n"/>
      <c r="L46" s="289" t="n"/>
      <c r="M46" s="289" t="n"/>
    </row>
    <row r="47">
      <c r="A47" s="289" t="n"/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</row>
    <row r="48">
      <c r="A48" s="289" t="n"/>
      <c r="B48" s="289" t="n"/>
      <c r="C48" s="289" t="n"/>
      <c r="D48" s="289" t="n"/>
      <c r="E48" s="289" t="n"/>
      <c r="F48" s="289" t="n"/>
      <c r="G48" s="289" t="n"/>
      <c r="H48" s="289" t="n"/>
      <c r="I48" s="289" t="n"/>
      <c r="J48" s="289" t="n"/>
      <c r="K48" s="289" t="n"/>
      <c r="L48" s="289" t="n"/>
      <c r="M48" s="289" t="n"/>
    </row>
    <row r="49">
      <c r="A49" s="289" t="n"/>
      <c r="B49" s="289" t="n"/>
      <c r="C49" s="289" t="n"/>
      <c r="D49" s="289" t="n"/>
      <c r="E49" s="289" t="n"/>
      <c r="F49" s="289" t="n"/>
      <c r="G49" s="289" t="n"/>
      <c r="H49" s="289" t="n"/>
      <c r="I49" s="289" t="n"/>
      <c r="J49" s="289" t="n"/>
      <c r="K49" s="289" t="n"/>
      <c r="L49" s="289" t="n"/>
      <c r="M49" s="289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</row>
    <row r="2" ht="18" customHeight="1">
      <c r="A2" s="49" t="n"/>
      <c r="B2" s="50" t="inlineStr">
        <is>
          <t>اليوم</t>
        </is>
      </c>
      <c r="C2" s="51" t="n"/>
      <c r="D2" s="52" t="inlineStr">
        <is>
          <t>التقرير اليومي لصندوق الغدير - صندوق فرعي - كربلاء</t>
        </is>
      </c>
      <c r="E2" s="53" t="n"/>
      <c r="F2" s="53" t="n"/>
      <c r="G2" s="53" t="n"/>
      <c r="H2" s="53" t="n"/>
      <c r="I2" s="53" t="n"/>
      <c r="J2" s="54" t="n"/>
      <c r="K2" s="55" t="n"/>
      <c r="L2" s="56" t="n"/>
      <c r="M2" s="57" t="n"/>
    </row>
    <row r="3" ht="18" customHeight="1">
      <c r="A3" s="49" t="n"/>
      <c r="B3" s="50" t="inlineStr">
        <is>
          <t>التاريخ</t>
        </is>
      </c>
      <c r="C3" s="51" t="n"/>
      <c r="D3" s="58" t="n"/>
      <c r="E3" s="59" t="n"/>
      <c r="F3" s="59" t="n"/>
      <c r="G3" s="59" t="n"/>
      <c r="H3" s="59" t="n"/>
      <c r="I3" s="59" t="n"/>
      <c r="J3" s="60" t="n"/>
      <c r="K3" s="61" t="n"/>
      <c r="L3" s="59" t="n"/>
      <c r="M3" s="62" t="n"/>
    </row>
    <row r="4" ht="18" customHeight="1">
      <c r="A4" s="49" t="n"/>
      <c r="B4" s="50" t="inlineStr">
        <is>
          <t>أمين الصندوق</t>
        </is>
      </c>
      <c r="C4" s="51" t="n"/>
      <c r="D4" s="58" t="n"/>
      <c r="E4" s="59" t="n"/>
      <c r="F4" s="59" t="n"/>
      <c r="G4" s="59" t="n"/>
      <c r="H4" s="59" t="n"/>
      <c r="I4" s="59" t="n"/>
      <c r="J4" s="60" t="n"/>
      <c r="K4" s="61" t="n"/>
      <c r="L4" s="59" t="n"/>
      <c r="M4" s="62" t="n"/>
    </row>
    <row r="5" ht="18" customHeight="1">
      <c r="A5" s="49" t="n"/>
      <c r="B5" s="50" t="inlineStr">
        <is>
          <t>سلم التقرير</t>
        </is>
      </c>
      <c r="C5" s="51" t="n"/>
      <c r="D5" s="63" t="n"/>
      <c r="E5" s="64" t="n"/>
      <c r="F5" s="64" t="n"/>
      <c r="G5" s="64" t="n"/>
      <c r="H5" s="64" t="n"/>
      <c r="I5" s="64" t="n"/>
      <c r="J5" s="65" t="n"/>
      <c r="K5" s="61" t="n"/>
      <c r="L5" s="59" t="n"/>
      <c r="M5" s="62" t="n"/>
    </row>
    <row r="6" ht="18" customHeight="1">
      <c r="A6" s="49" t="n"/>
      <c r="B6" s="50" t="inlineStr">
        <is>
          <t>اسم صندوق اليوم</t>
        </is>
      </c>
      <c r="C6" s="66" t="inlineStr">
        <is>
          <t>الغدير - صندوق فرعي - كربلاء</t>
        </is>
      </c>
      <c r="D6" s="49" t="n"/>
      <c r="E6" s="67" t="n"/>
      <c r="F6" s="67" t="n"/>
      <c r="G6" s="67" t="n"/>
      <c r="H6" s="67" t="n"/>
      <c r="I6" s="67" t="n"/>
      <c r="J6" s="68" t="n"/>
      <c r="K6" s="61" t="n"/>
      <c r="L6" s="59" t="n"/>
      <c r="M6" s="62" t="n"/>
    </row>
    <row r="7" ht="18" customHeight="1">
      <c r="A7" s="49" t="n"/>
      <c r="B7" s="50" t="inlineStr">
        <is>
          <t>الرصيد السابق - دينار</t>
        </is>
      </c>
      <c r="C7" s="69" t="n">
        <v>0</v>
      </c>
      <c r="D7" s="70" t="n"/>
      <c r="E7" s="59" t="n"/>
      <c r="F7" s="59" t="n"/>
      <c r="G7" s="59" t="n"/>
      <c r="H7" s="59" t="n"/>
      <c r="I7" s="59" t="n"/>
      <c r="J7" s="71" t="n"/>
      <c r="K7" s="61" t="n"/>
      <c r="L7" s="59" t="n"/>
      <c r="M7" s="62" t="n"/>
    </row>
    <row r="8" ht="18" customHeight="1">
      <c r="A8" s="49" t="n"/>
      <c r="B8" s="50" t="inlineStr">
        <is>
          <t>الرصيد السابق - دولار</t>
        </is>
      </c>
      <c r="C8" s="72" t="n">
        <v>0</v>
      </c>
      <c r="D8" s="73" t="n"/>
      <c r="E8" s="74" t="n"/>
      <c r="F8" s="74" t="n"/>
      <c r="G8" s="74" t="n"/>
      <c r="H8" s="74" t="n"/>
      <c r="I8" s="74" t="n"/>
      <c r="J8" s="75" t="n"/>
      <c r="K8" s="76" t="n"/>
      <c r="L8" s="77" t="n"/>
      <c r="M8" s="78" t="n"/>
    </row>
    <row r="9" ht="5" customHeight="1">
      <c r="A9" s="48" t="n"/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</row>
    <row r="10" ht="20" customHeight="1">
      <c r="A10" s="79" t="inlineStr">
        <is>
          <t>ت</t>
        </is>
      </c>
      <c r="B10" s="80" t="inlineStr">
        <is>
          <t>التفاصيل</t>
        </is>
      </c>
      <c r="C10" s="80" t="inlineStr">
        <is>
          <t>صندوق - الدينار</t>
        </is>
      </c>
      <c r="D10" s="81" t="n"/>
      <c r="E10" s="80" t="inlineStr">
        <is>
          <t>صندوق - الدولار</t>
        </is>
      </c>
      <c r="F10" s="81" t="n"/>
      <c r="G10" s="82" t="inlineStr">
        <is>
          <t>رقم المستند</t>
        </is>
      </c>
      <c r="H10" s="82" t="inlineStr">
        <is>
          <t>اسم الحساب العميل</t>
        </is>
      </c>
      <c r="I10" s="82" t="inlineStr">
        <is>
          <t>رقم الحركة المالية</t>
        </is>
      </c>
      <c r="J10" s="80" t="inlineStr">
        <is>
          <t>المستندات</t>
        </is>
      </c>
      <c r="K10" s="83" t="n"/>
      <c r="L10" s="81" t="n"/>
      <c r="M10" s="82" t="inlineStr">
        <is>
          <t>التفاصيل</t>
        </is>
      </c>
    </row>
    <row r="11" ht="18" customHeight="1">
      <c r="A11" s="84" t="n"/>
      <c r="B11" s="84" t="n"/>
      <c r="C11" s="85" t="inlineStr">
        <is>
          <t>متنوعات</t>
        </is>
      </c>
      <c r="D11" s="85" t="inlineStr">
        <is>
          <t>مصروفات</t>
        </is>
      </c>
      <c r="E11" s="85" t="inlineStr">
        <is>
          <t>متنوعات</t>
        </is>
      </c>
      <c r="F11" s="85" t="inlineStr">
        <is>
          <t>مصروفات</t>
        </is>
      </c>
      <c r="G11" s="84" t="n"/>
      <c r="H11" s="84" t="n"/>
      <c r="I11" s="84" t="n"/>
      <c r="J11" s="85" t="inlineStr">
        <is>
          <t>نوع المستند</t>
        </is>
      </c>
      <c r="K11" s="85" t="inlineStr">
        <is>
          <t>تسلسل</t>
        </is>
      </c>
      <c r="L11" s="85" t="inlineStr">
        <is>
          <t>رقم المستند</t>
        </is>
      </c>
      <c r="M11" s="84" t="n"/>
    </row>
    <row r="12" ht="17" customHeight="1">
      <c r="A12" s="86" t="n">
        <v>1</v>
      </c>
      <c r="B12" s="86" t="n"/>
      <c r="C12" s="88" t="n"/>
      <c r="D12" s="88" t="n"/>
      <c r="E12" s="88" t="n"/>
      <c r="F12" s="88" t="n"/>
      <c r="G12" s="86" t="n"/>
      <c r="H12" s="86" t="n"/>
      <c r="I12" s="86" t="n"/>
      <c r="J12" s="86" t="n"/>
      <c r="K12" s="86" t="n"/>
      <c r="L12" s="86" t="n"/>
      <c r="M12" s="86" t="n"/>
    </row>
    <row r="13" ht="17" customHeight="1">
      <c r="A13" s="86" t="n">
        <v>2</v>
      </c>
      <c r="B13" s="86" t="n"/>
      <c r="C13" s="88" t="n"/>
      <c r="D13" s="88" t="n"/>
      <c r="E13" s="88" t="n"/>
      <c r="F13" s="88" t="n"/>
      <c r="G13" s="86" t="n"/>
      <c r="H13" s="86" t="n"/>
      <c r="I13" s="86" t="n"/>
      <c r="J13" s="86" t="n"/>
      <c r="K13" s="86" t="n"/>
      <c r="L13" s="86" t="n"/>
      <c r="M13" s="86" t="n"/>
    </row>
    <row r="14" ht="17" customHeight="1">
      <c r="A14" s="86" t="n">
        <v>3</v>
      </c>
      <c r="B14" s="86" t="n"/>
      <c r="C14" s="88" t="n"/>
      <c r="D14" s="88" t="n"/>
      <c r="E14" s="88" t="n"/>
      <c r="F14" s="88" t="n"/>
      <c r="G14" s="86" t="n"/>
      <c r="H14" s="86" t="n"/>
      <c r="I14" s="86" t="n"/>
      <c r="J14" s="86" t="n"/>
      <c r="K14" s="86" t="n"/>
      <c r="L14" s="86" t="n"/>
      <c r="M14" s="86" t="n"/>
    </row>
    <row r="15" ht="17" customHeight="1">
      <c r="A15" s="86" t="n">
        <v>4</v>
      </c>
      <c r="B15" s="86" t="n"/>
      <c r="C15" s="88" t="n"/>
      <c r="D15" s="88" t="n"/>
      <c r="E15" s="88" t="n"/>
      <c r="F15" s="88" t="n"/>
      <c r="G15" s="86" t="n"/>
      <c r="H15" s="86" t="n"/>
      <c r="I15" s="86" t="n"/>
      <c r="J15" s="86" t="n"/>
      <c r="K15" s="86" t="n"/>
      <c r="L15" s="86" t="n"/>
      <c r="M15" s="86" t="n"/>
    </row>
    <row r="16" ht="17" customHeight="1">
      <c r="A16" s="86" t="n">
        <v>5</v>
      </c>
      <c r="B16" s="86" t="n"/>
      <c r="C16" s="88" t="n"/>
      <c r="D16" s="88" t="n"/>
      <c r="E16" s="88" t="n"/>
      <c r="F16" s="88" t="n"/>
      <c r="G16" s="86" t="n"/>
      <c r="H16" s="86" t="n"/>
      <c r="I16" s="86" t="n"/>
      <c r="J16" s="86" t="n"/>
      <c r="K16" s="86" t="n"/>
      <c r="L16" s="86" t="n"/>
      <c r="M16" s="86" t="n"/>
    </row>
    <row r="17" ht="17" customHeight="1">
      <c r="A17" s="86" t="n">
        <v>6</v>
      </c>
      <c r="B17" s="86" t="n"/>
      <c r="C17" s="88" t="n"/>
      <c r="D17" s="88" t="n"/>
      <c r="E17" s="88" t="n"/>
      <c r="F17" s="88" t="n"/>
      <c r="G17" s="86" t="n"/>
      <c r="H17" s="86" t="n"/>
      <c r="I17" s="86" t="n"/>
      <c r="J17" s="86" t="n"/>
      <c r="K17" s="86" t="n"/>
      <c r="L17" s="86" t="n"/>
      <c r="M17" s="86" t="n"/>
    </row>
    <row r="18" ht="17" customHeight="1">
      <c r="A18" s="86" t="n">
        <v>7</v>
      </c>
      <c r="B18" s="86" t="n"/>
      <c r="C18" s="88" t="n"/>
      <c r="D18" s="88" t="n"/>
      <c r="E18" s="88" t="n"/>
      <c r="F18" s="88" t="n"/>
      <c r="G18" s="86" t="n"/>
      <c r="H18" s="86" t="n"/>
      <c r="I18" s="86" t="n"/>
      <c r="J18" s="86" t="n"/>
      <c r="K18" s="86" t="n"/>
      <c r="L18" s="86" t="n"/>
      <c r="M18" s="86" t="n"/>
    </row>
    <row r="19" ht="17" customHeight="1">
      <c r="A19" s="86" t="n">
        <v>8</v>
      </c>
      <c r="B19" s="86" t="n"/>
      <c r="C19" s="88" t="n"/>
      <c r="D19" s="88" t="n"/>
      <c r="E19" s="88" t="n"/>
      <c r="F19" s="88" t="n"/>
      <c r="G19" s="86" t="n"/>
      <c r="H19" s="86" t="n"/>
      <c r="I19" s="86" t="n"/>
      <c r="J19" s="86" t="n"/>
      <c r="K19" s="86" t="n"/>
      <c r="L19" s="86" t="n"/>
      <c r="M19" s="86" t="n"/>
    </row>
    <row r="20" ht="17" customHeight="1">
      <c r="A20" s="86" t="n">
        <v>9</v>
      </c>
      <c r="B20" s="86" t="n"/>
      <c r="C20" s="88" t="n"/>
      <c r="D20" s="88" t="n"/>
      <c r="E20" s="88" t="n"/>
      <c r="F20" s="88" t="n"/>
      <c r="G20" s="86" t="n"/>
      <c r="H20" s="86" t="n"/>
      <c r="I20" s="86" t="n"/>
      <c r="J20" s="86" t="n"/>
      <c r="K20" s="86" t="n"/>
      <c r="L20" s="86" t="n"/>
      <c r="M20" s="86" t="n"/>
    </row>
    <row r="21" ht="17" customHeight="1">
      <c r="A21" s="86" t="n">
        <v>10</v>
      </c>
      <c r="B21" s="86" t="n"/>
      <c r="C21" s="88" t="n"/>
      <c r="D21" s="88" t="n"/>
      <c r="E21" s="88" t="n"/>
      <c r="F21" s="88" t="n"/>
      <c r="G21" s="86" t="n"/>
      <c r="H21" s="86" t="n"/>
      <c r="I21" s="86" t="n"/>
      <c r="J21" s="86" t="n"/>
      <c r="K21" s="86" t="n"/>
      <c r="L21" s="86" t="n"/>
      <c r="M21" s="86" t="n"/>
    </row>
    <row r="22" ht="17" customHeight="1">
      <c r="A22" s="86" t="n">
        <v>11</v>
      </c>
      <c r="B22" s="86" t="n"/>
      <c r="C22" s="88" t="n"/>
      <c r="D22" s="88" t="n"/>
      <c r="E22" s="88" t="n"/>
      <c r="F22" s="88" t="n"/>
      <c r="G22" s="86" t="n"/>
      <c r="H22" s="86" t="n"/>
      <c r="I22" s="86" t="n"/>
      <c r="J22" s="86" t="n"/>
      <c r="K22" s="86" t="n"/>
      <c r="L22" s="86" t="n"/>
      <c r="M22" s="86" t="n"/>
    </row>
    <row r="23" ht="20" customHeight="1">
      <c r="A23" s="79" t="inlineStr">
        <is>
          <t>المجموع</t>
        </is>
      </c>
      <c r="B23" s="81" t="n"/>
      <c r="C23" s="90">
        <f>SUM(C12:C22)</f>
        <v/>
      </c>
      <c r="D23" s="91">
        <f>SUM(D12:D22)</f>
        <v/>
      </c>
      <c r="E23" s="90">
        <f>SUM(E12:E22)</f>
        <v/>
      </c>
      <c r="F23" s="91">
        <f>SUM(F12:F22)</f>
        <v/>
      </c>
      <c r="G23" s="92" t="n"/>
      <c r="H23" s="92" t="n"/>
      <c r="I23" s="92" t="n"/>
      <c r="J23" s="92" t="n"/>
      <c r="K23" s="92" t="n"/>
      <c r="L23" s="92" t="n"/>
      <c r="M23" s="92" t="n"/>
    </row>
    <row r="24" ht="20" customHeight="1">
      <c r="A24" s="93" t="inlineStr">
        <is>
          <t>الرصيد</t>
        </is>
      </c>
      <c r="B24" s="81" t="n"/>
      <c r="C24" s="94">
        <f>C7+C23-D23</f>
        <v/>
      </c>
      <c r="D24" s="81" t="n"/>
      <c r="E24" s="94">
        <f>C8+E23-F23</f>
        <v/>
      </c>
      <c r="F24" s="81" t="n"/>
      <c r="G24" s="95" t="n"/>
      <c r="H24" s="95" t="n"/>
      <c r="I24" s="95" t="n"/>
      <c r="J24" s="95" t="n"/>
      <c r="K24" s="95" t="n"/>
      <c r="L24" s="95" t="n"/>
      <c r="M24" s="95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</row>
    <row r="26" ht="17" customHeight="1">
      <c r="A26" s="96" t="inlineStr">
        <is>
          <t>الرصيد الحالي - دينار</t>
        </is>
      </c>
      <c r="B26" s="81" t="n"/>
      <c r="C26" s="97">
        <f>C24</f>
        <v/>
      </c>
      <c r="D26" s="98" t="inlineStr">
        <is>
          <t xml:space="preserve">      الرصيد الحالي</t>
        </is>
      </c>
      <c r="E26" s="99" t="n"/>
      <c r="F26" s="100" t="n"/>
      <c r="G26" s="98" t="inlineStr">
        <is>
          <t xml:space="preserve">      مجموع الاستيرادات</t>
        </is>
      </c>
      <c r="H26" s="99" t="n"/>
      <c r="I26" s="100" t="n"/>
      <c r="J26" s="98" t="inlineStr">
        <is>
          <t xml:space="preserve">      مجموع المصروفات والسحوبات</t>
        </is>
      </c>
      <c r="K26" s="99" t="n"/>
      <c r="L26" s="100" t="n"/>
      <c r="M26" s="48" t="n"/>
    </row>
    <row r="27" ht="26" customHeight="1">
      <c r="A27" s="96" t="inlineStr">
        <is>
          <t>الرصيد الحالي - دولار</t>
        </is>
      </c>
      <c r="B27" s="81" t="n"/>
      <c r="C27" s="101">
        <f>E24</f>
        <v/>
      </c>
      <c r="D27" s="102">
        <f>C24</f>
        <v/>
      </c>
      <c r="E27" s="99" t="n"/>
      <c r="F27" s="100" t="n"/>
      <c r="G27" s="103">
        <f>C23+E23</f>
        <v/>
      </c>
      <c r="H27" s="99" t="n"/>
      <c r="I27" s="100" t="n"/>
      <c r="J27" s="104">
        <f>D23+F23</f>
        <v/>
      </c>
      <c r="K27" s="99" t="n"/>
      <c r="L27" s="100" t="n"/>
      <c r="M27" s="48" t="n"/>
    </row>
    <row r="28" ht="16" customHeight="1">
      <c r="A28" s="48" t="n"/>
      <c r="B28" s="48" t="n"/>
      <c r="C28" s="48" t="n"/>
      <c r="D28" s="80" t="inlineStr">
        <is>
          <t>الرصيد الحالي = مجموع الاستيرادات − مجموع المصروفات والسحوبات</t>
        </is>
      </c>
      <c r="E28" s="83" t="n"/>
      <c r="F28" s="83" t="n"/>
      <c r="G28" s="83" t="n"/>
      <c r="H28" s="83" t="n"/>
      <c r="I28" s="83" t="n"/>
      <c r="J28" s="83" t="n"/>
      <c r="K28" s="83" t="n"/>
      <c r="L28" s="81" t="n"/>
      <c r="M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</row>
    <row r="30" ht="20" customHeight="1">
      <c r="A30" s="105" t="inlineStr">
        <is>
          <t xml:space="preserve">      ملخص الوصولات</t>
        </is>
      </c>
      <c r="B30" s="83" t="n"/>
      <c r="C30" s="83" t="n"/>
      <c r="D30" s="83" t="n"/>
      <c r="E30" s="83" t="n"/>
      <c r="F30" s="81" t="n"/>
      <c r="G30" s="48" t="n"/>
      <c r="H30" s="105" t="inlineStr">
        <is>
          <t xml:space="preserve">      ملاحظات أمين الصندوق</t>
        </is>
      </c>
      <c r="I30" s="83" t="n"/>
      <c r="J30" s="83" t="n"/>
      <c r="K30" s="83" t="n"/>
      <c r="L30" s="83" t="n"/>
      <c r="M30" s="81" t="n"/>
    </row>
    <row r="31" ht="17" customHeight="1">
      <c r="A31" s="82" t="inlineStr">
        <is>
          <t>ت</t>
        </is>
      </c>
      <c r="B31" s="82" t="inlineStr">
        <is>
          <t>تفاصيل</t>
        </is>
      </c>
      <c r="C31" s="82" t="inlineStr">
        <is>
          <t>العدد</t>
        </is>
      </c>
      <c r="D31" s="82" t="inlineStr">
        <is>
          <t>المجموع</t>
        </is>
      </c>
      <c r="E31" s="92" t="n"/>
      <c r="F31" s="92" t="n"/>
      <c r="G31" s="48" t="n"/>
      <c r="H31" s="106" t="inlineStr">
        <is>
          <t>·  ·  ·  ·  ·  ·  ·  ·  ·  ·  ·  ·  ·  ·  ·  ·  ·  ·  ·  ·  ·  ·  ·  ·</t>
        </is>
      </c>
      <c r="I31" s="83" t="n"/>
      <c r="J31" s="83" t="n"/>
      <c r="K31" s="83" t="n"/>
      <c r="L31" s="83" t="n"/>
      <c r="M31" s="81" t="n"/>
    </row>
    <row r="32" ht="16" customHeight="1">
      <c r="A32" s="51" t="n">
        <v>1</v>
      </c>
      <c r="B32" s="51" t="inlineStr">
        <is>
          <t>وصل قبض</t>
        </is>
      </c>
      <c r="C32" s="51">
        <f>COUNTIF(J12:J22,"قبض")</f>
        <v/>
      </c>
      <c r="D32" s="87">
        <f>C23</f>
        <v/>
      </c>
      <c r="E32" s="51" t="n"/>
      <c r="F32" s="51" t="n"/>
      <c r="G32" s="48" t="n"/>
      <c r="H32" s="106" t="inlineStr">
        <is>
          <t>·  ·  ·  ·  ·  ·  ·  ·  ·  ·  ·  ·  ·  ·  ·  ·  ·  ·  ·  ·  ·  ·  ·  ·</t>
        </is>
      </c>
      <c r="I32" s="83" t="n"/>
      <c r="J32" s="83" t="n"/>
      <c r="K32" s="83" t="n"/>
      <c r="L32" s="83" t="n"/>
      <c r="M32" s="81" t="n"/>
    </row>
    <row r="33" ht="16" customHeight="1">
      <c r="A33" s="51" t="n">
        <v>2</v>
      </c>
      <c r="B33" s="51" t="inlineStr">
        <is>
          <t>قبض مصروف</t>
        </is>
      </c>
      <c r="C33" s="51">
        <f>COUNTIF(J12:J22,"مصروف")</f>
        <v/>
      </c>
      <c r="D33" s="89" t="n">
        <v>0</v>
      </c>
      <c r="E33" s="51" t="n"/>
      <c r="F33" s="51" t="n"/>
      <c r="G33" s="48" t="n"/>
      <c r="H33" s="106" t="inlineStr">
        <is>
          <t>·  ·  ·  ·  ·  ·  ·  ·  ·  ·  ·  ·  ·  ·  ·  ·  ·  ·  ·  ·  ·  ·  ·  ·</t>
        </is>
      </c>
      <c r="I33" s="83" t="n"/>
      <c r="J33" s="83" t="n"/>
      <c r="K33" s="83" t="n"/>
      <c r="L33" s="83" t="n"/>
      <c r="M33" s="81" t="n"/>
    </row>
    <row r="34" ht="16" customHeight="1">
      <c r="A34" s="51" t="n">
        <v>3</v>
      </c>
      <c r="B34" s="51" t="inlineStr">
        <is>
          <t>وصل صرف</t>
        </is>
      </c>
      <c r="C34" s="51">
        <f>COUNTIF(J12:J22,"صرف")</f>
        <v/>
      </c>
      <c r="D34" s="89">
        <f>D23</f>
        <v/>
      </c>
      <c r="E34" s="51" t="n"/>
      <c r="F34" s="51" t="n"/>
      <c r="G34" s="48" t="n"/>
      <c r="H34" s="106" t="inlineStr">
        <is>
          <t>·  ·  ·  ·  ·  ·  ·  ·  ·  ·  ·  ·  ·  ·  ·  ·  ·  ·  ·  ·  ·  ·  ·  ·</t>
        </is>
      </c>
      <c r="I34" s="83" t="n"/>
      <c r="J34" s="83" t="n"/>
      <c r="K34" s="83" t="n"/>
      <c r="L34" s="83" t="n"/>
      <c r="M34" s="81" t="n"/>
    </row>
    <row r="35" ht="16" customHeight="1">
      <c r="A35" s="51" t="n">
        <v>4</v>
      </c>
      <c r="B35" s="51" t="inlineStr">
        <is>
          <t>صرف مصرفي</t>
        </is>
      </c>
      <c r="C35" s="51" t="n">
        <v>0</v>
      </c>
      <c r="D35" s="89" t="n">
        <v>0</v>
      </c>
      <c r="E35" s="51" t="n"/>
      <c r="F35" s="51" t="n"/>
      <c r="G35" s="48" t="n"/>
      <c r="H35" s="106" t="inlineStr">
        <is>
          <t>·  ·  ·  ·  ·  ·  ·  ·  ·  ·  ·  ·  ·  ·  ·  ·  ·  ·  ·  ·  ·  ·  ·  ·</t>
        </is>
      </c>
      <c r="I35" s="83" t="n"/>
      <c r="J35" s="83" t="n"/>
      <c r="K35" s="83" t="n"/>
      <c r="L35" s="83" t="n"/>
      <c r="M35" s="81" t="n"/>
    </row>
    <row r="36" ht="16" customHeight="1">
      <c r="A36" s="51" t="n">
        <v>5</v>
      </c>
      <c r="B36" s="51" t="inlineStr">
        <is>
          <t>وصلات ملغاة</t>
        </is>
      </c>
      <c r="C36" s="51" t="n">
        <v>0</v>
      </c>
      <c r="D36" s="89" t="n">
        <v>0</v>
      </c>
      <c r="E36" s="51" t="n"/>
      <c r="F36" s="51" t="n"/>
      <c r="G36" s="48" t="n"/>
      <c r="H36" s="106" t="inlineStr">
        <is>
          <t>·  ·  ·  ·  ·  ·  ·  ·  ·  ·  ·  ·  ·  ·  ·  ·  ·  ·  ·  ·  ·  ·  ·  ·</t>
        </is>
      </c>
      <c r="I36" s="83" t="n"/>
      <c r="J36" s="83" t="n"/>
      <c r="K36" s="83" t="n"/>
      <c r="L36" s="83" t="n"/>
      <c r="M36" s="81" t="n"/>
    </row>
    <row r="37" ht="16" customHeight="1">
      <c r="A37" s="51" t="n">
        <v>6</v>
      </c>
      <c r="B37" s="51" t="inlineStr">
        <is>
          <t>وصلات باطلة</t>
        </is>
      </c>
      <c r="C37" s="51" t="n">
        <v>0</v>
      </c>
      <c r="D37" s="89" t="n">
        <v>0</v>
      </c>
      <c r="E37" s="51" t="n"/>
      <c r="F37" s="51" t="n"/>
      <c r="G37" s="48" t="n"/>
      <c r="H37" s="106" t="inlineStr">
        <is>
          <t>·  ·  ·  ·  ·  ·  ·  ·  ·  ·  ·  ·  ·  ·  ·  ·  ·  ·  ·  ·  ·  ·  ·  ·</t>
        </is>
      </c>
      <c r="I37" s="83" t="n"/>
      <c r="J37" s="83" t="n"/>
      <c r="K37" s="83" t="n"/>
      <c r="L37" s="83" t="n"/>
      <c r="M37" s="81" t="n"/>
    </row>
    <row r="38" ht="17" customHeight="1">
      <c r="A38" s="80" t="inlineStr">
        <is>
          <t>إجمالي الوصولات</t>
        </is>
      </c>
      <c r="B38" s="81" t="n"/>
      <c r="C38" s="80">
        <f>C32+C33+C34+C35+C36+C37</f>
        <v/>
      </c>
      <c r="D38" s="49" t="inlineStr"/>
      <c r="E38" s="92" t="n"/>
      <c r="F38" s="92" t="n"/>
      <c r="G38" s="48" t="n"/>
      <c r="H38" s="48" t="n"/>
      <c r="I38" s="48" t="n"/>
      <c r="J38" s="48" t="n"/>
      <c r="K38" s="48" t="n"/>
      <c r="L38" s="48" t="n"/>
      <c r="M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</row>
    <row r="40" ht="16" customHeight="1">
      <c r="A40" s="107" t="inlineStr">
        <is>
          <t>أمين الصندوق</t>
        </is>
      </c>
      <c r="B40" s="59" t="n"/>
      <c r="C40" s="59" t="n"/>
      <c r="D40" s="59" t="n"/>
      <c r="E40" s="48" t="n"/>
      <c r="F40" s="48" t="n"/>
      <c r="G40" s="48" t="n"/>
      <c r="H40" s="48" t="n"/>
      <c r="I40" s="10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108" t="inlineStr">
        <is>
          <t>________________</t>
        </is>
      </c>
      <c r="B41" s="59" t="n"/>
      <c r="C41" s="59" t="n"/>
      <c r="D41" s="59" t="n"/>
      <c r="E41" s="48" t="n"/>
      <c r="F41" s="48" t="n"/>
      <c r="G41" s="48" t="n"/>
      <c r="H41" s="48" t="n"/>
      <c r="I41" s="108" t="inlineStr">
        <is>
          <t>________________</t>
        </is>
      </c>
      <c r="J41" s="59" t="n"/>
      <c r="K41" s="59" t="n"/>
      <c r="L41" s="59" t="n"/>
      <c r="M41" s="59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229" t="n"/>
      <c r="B1" s="229" t="n"/>
      <c r="C1" s="229" t="n"/>
      <c r="D1" s="229" t="n"/>
      <c r="E1" s="229" t="n"/>
      <c r="F1" s="229" t="n"/>
      <c r="G1" s="229" t="n"/>
      <c r="H1" s="229" t="n"/>
      <c r="I1" s="229" t="n"/>
      <c r="J1" s="229" t="n"/>
      <c r="K1" s="229" t="n"/>
      <c r="L1" s="229" t="n"/>
      <c r="M1" s="229" t="n"/>
    </row>
    <row r="2" ht="18" customHeight="1">
      <c r="A2" s="230" t="n"/>
      <c r="B2" s="231" t="inlineStr">
        <is>
          <t>اليوم</t>
        </is>
      </c>
      <c r="C2" s="232" t="n"/>
      <c r="D2" s="233" t="inlineStr">
        <is>
          <t>التقرير اليومي لصندوق غدير كربلاء - الصندوق الفرعي</t>
        </is>
      </c>
      <c r="E2" s="234" t="n"/>
      <c r="F2" s="234" t="n"/>
      <c r="G2" s="234" t="n"/>
      <c r="H2" s="234" t="n"/>
      <c r="I2" s="234" t="n"/>
      <c r="J2" s="235" t="n"/>
      <c r="K2" s="236" t="n"/>
      <c r="L2" s="237" t="n"/>
      <c r="M2" s="238" t="n"/>
    </row>
    <row r="3" ht="18" customHeight="1">
      <c r="A3" s="230" t="n"/>
      <c r="B3" s="231" t="inlineStr">
        <is>
          <t>التاريخ</t>
        </is>
      </c>
      <c r="C3" s="232" t="n"/>
      <c r="D3" s="239" t="n"/>
      <c r="E3" s="59" t="n"/>
      <c r="F3" s="59" t="n"/>
      <c r="G3" s="59" t="n"/>
      <c r="H3" s="59" t="n"/>
      <c r="I3" s="59" t="n"/>
      <c r="J3" s="240" t="n"/>
      <c r="K3" s="241" t="n"/>
      <c r="L3" s="59" t="n"/>
      <c r="M3" s="242" t="n"/>
    </row>
    <row r="4" ht="18" customHeight="1">
      <c r="A4" s="230" t="n"/>
      <c r="B4" s="231" t="inlineStr">
        <is>
          <t>أمين الصندوق</t>
        </is>
      </c>
      <c r="C4" s="232" t="n"/>
      <c r="D4" s="239" t="n"/>
      <c r="E4" s="59" t="n"/>
      <c r="F4" s="59" t="n"/>
      <c r="G4" s="59" t="n"/>
      <c r="H4" s="59" t="n"/>
      <c r="I4" s="59" t="n"/>
      <c r="J4" s="240" t="n"/>
      <c r="K4" s="241" t="n"/>
      <c r="L4" s="59" t="n"/>
      <c r="M4" s="242" t="n"/>
    </row>
    <row r="5" ht="18" customHeight="1">
      <c r="A5" s="230" t="n"/>
      <c r="B5" s="231" t="inlineStr">
        <is>
          <t>سلم التقرير</t>
        </is>
      </c>
      <c r="C5" s="232" t="n"/>
      <c r="D5" s="243" t="n"/>
      <c r="E5" s="244" t="n"/>
      <c r="F5" s="244" t="n"/>
      <c r="G5" s="244" t="n"/>
      <c r="H5" s="244" t="n"/>
      <c r="I5" s="244" t="n"/>
      <c r="J5" s="245" t="n"/>
      <c r="K5" s="241" t="n"/>
      <c r="L5" s="59" t="n"/>
      <c r="M5" s="242" t="n"/>
    </row>
    <row r="6" ht="18" customHeight="1">
      <c r="A6" s="230" t="n"/>
      <c r="B6" s="231" t="inlineStr">
        <is>
          <t>اسم صندوق اليوم</t>
        </is>
      </c>
      <c r="C6" s="246" t="inlineStr">
        <is>
          <t>غدير كربلاء - الصندوق الفرعي</t>
        </is>
      </c>
      <c r="D6" s="230" t="n"/>
      <c r="E6" s="247" t="n"/>
      <c r="F6" s="247" t="n"/>
      <c r="G6" s="247" t="n"/>
      <c r="H6" s="247" t="n"/>
      <c r="I6" s="247" t="n"/>
      <c r="J6" s="248" t="n"/>
      <c r="K6" s="241" t="n"/>
      <c r="L6" s="59" t="n"/>
      <c r="M6" s="242" t="n"/>
    </row>
    <row r="7" ht="18" customHeight="1">
      <c r="A7" s="230" t="n"/>
      <c r="B7" s="231" t="inlineStr">
        <is>
          <t>الرصيد السابق - دينار</t>
        </is>
      </c>
      <c r="C7" s="249" t="n">
        <v>0</v>
      </c>
      <c r="D7" s="250" t="n"/>
      <c r="E7" s="59" t="n"/>
      <c r="F7" s="59" t="n"/>
      <c r="G7" s="59" t="n"/>
      <c r="H7" s="59" t="n"/>
      <c r="I7" s="59" t="n"/>
      <c r="J7" s="251" t="n"/>
      <c r="K7" s="241" t="n"/>
      <c r="L7" s="59" t="n"/>
      <c r="M7" s="242" t="n"/>
    </row>
    <row r="8" ht="18" customHeight="1">
      <c r="A8" s="230" t="n"/>
      <c r="B8" s="231" t="inlineStr">
        <is>
          <t>الرصيد السابق - دولار</t>
        </is>
      </c>
      <c r="C8" s="252" t="n">
        <v>0</v>
      </c>
      <c r="D8" s="253" t="n"/>
      <c r="E8" s="254" t="n"/>
      <c r="F8" s="254" t="n"/>
      <c r="G8" s="254" t="n"/>
      <c r="H8" s="254" t="n"/>
      <c r="I8" s="254" t="n"/>
      <c r="J8" s="255" t="n"/>
      <c r="K8" s="256" t="n"/>
      <c r="L8" s="257" t="n"/>
      <c r="M8" s="258" t="n"/>
    </row>
    <row r="9" ht="5" customHeight="1">
      <c r="A9" s="229" t="n"/>
      <c r="B9" s="229" t="n"/>
      <c r="C9" s="229" t="n"/>
      <c r="D9" s="229" t="n"/>
      <c r="E9" s="229" t="n"/>
      <c r="F9" s="229" t="n"/>
      <c r="G9" s="229" t="n"/>
      <c r="H9" s="229" t="n"/>
      <c r="I9" s="229" t="n"/>
      <c r="J9" s="229" t="n"/>
      <c r="K9" s="229" t="n"/>
      <c r="L9" s="229" t="n"/>
      <c r="M9" s="229" t="n"/>
    </row>
    <row r="10" ht="20" customHeight="1">
      <c r="A10" s="259" t="inlineStr">
        <is>
          <t>ت</t>
        </is>
      </c>
      <c r="B10" s="260" t="inlineStr">
        <is>
          <t>التفاصيل</t>
        </is>
      </c>
      <c r="C10" s="260" t="inlineStr">
        <is>
          <t>صندوق - الدينار</t>
        </is>
      </c>
      <c r="D10" s="261" t="n"/>
      <c r="E10" s="260" t="inlineStr">
        <is>
          <t>صندوق - الدولار</t>
        </is>
      </c>
      <c r="F10" s="261" t="n"/>
      <c r="G10" s="262" t="inlineStr">
        <is>
          <t>رقم المستند</t>
        </is>
      </c>
      <c r="H10" s="262" t="inlineStr">
        <is>
          <t>اسم الحساب العميل</t>
        </is>
      </c>
      <c r="I10" s="262" t="inlineStr">
        <is>
          <t>رقم الحركة المالية</t>
        </is>
      </c>
      <c r="J10" s="260" t="inlineStr">
        <is>
          <t>المستندات</t>
        </is>
      </c>
      <c r="K10" s="263" t="n"/>
      <c r="L10" s="261" t="n"/>
      <c r="M10" s="262" t="inlineStr">
        <is>
          <t>التفاصيل</t>
        </is>
      </c>
    </row>
    <row r="11" ht="18" customHeight="1">
      <c r="A11" s="264" t="n"/>
      <c r="B11" s="264" t="n"/>
      <c r="C11" s="265" t="inlineStr">
        <is>
          <t>متنوعات</t>
        </is>
      </c>
      <c r="D11" s="265" t="inlineStr">
        <is>
          <t>مصروفات</t>
        </is>
      </c>
      <c r="E11" s="265" t="inlineStr">
        <is>
          <t>متنوعات</t>
        </is>
      </c>
      <c r="F11" s="265" t="inlineStr">
        <is>
          <t>مصروفات</t>
        </is>
      </c>
      <c r="G11" s="264" t="n"/>
      <c r="H11" s="264" t="n"/>
      <c r="I11" s="264" t="n"/>
      <c r="J11" s="265" t="inlineStr">
        <is>
          <t>نوع المستند</t>
        </is>
      </c>
      <c r="K11" s="265" t="inlineStr">
        <is>
          <t>تسلسل</t>
        </is>
      </c>
      <c r="L11" s="265" t="inlineStr">
        <is>
          <t>رقم المستند</t>
        </is>
      </c>
      <c r="M11" s="264" t="n"/>
    </row>
    <row r="12" ht="17" customHeight="1">
      <c r="A12" s="266" t="n">
        <v>1</v>
      </c>
      <c r="B12" s="266" t="n"/>
      <c r="C12" s="267" t="n"/>
      <c r="D12" s="267" t="n"/>
      <c r="E12" s="267" t="n"/>
      <c r="F12" s="267" t="n"/>
      <c r="G12" s="266" t="n"/>
      <c r="H12" s="266" t="n"/>
      <c r="I12" s="266" t="n"/>
      <c r="J12" s="266" t="n"/>
      <c r="K12" s="266" t="n"/>
      <c r="L12" s="266" t="n"/>
      <c r="M12" s="266" t="n"/>
    </row>
    <row r="13" ht="17" customHeight="1">
      <c r="A13" s="266" t="n">
        <v>2</v>
      </c>
      <c r="B13" s="266" t="n"/>
      <c r="C13" s="267" t="n"/>
      <c r="D13" s="267" t="n"/>
      <c r="E13" s="267" t="n"/>
      <c r="F13" s="267" t="n"/>
      <c r="G13" s="266" t="n"/>
      <c r="H13" s="266" t="n"/>
      <c r="I13" s="266" t="n"/>
      <c r="J13" s="266" t="n"/>
      <c r="K13" s="266" t="n"/>
      <c r="L13" s="266" t="n"/>
      <c r="M13" s="266" t="n"/>
    </row>
    <row r="14" ht="17" customHeight="1">
      <c r="A14" s="266" t="n">
        <v>3</v>
      </c>
      <c r="B14" s="266" t="n"/>
      <c r="C14" s="267" t="n"/>
      <c r="D14" s="267" t="n"/>
      <c r="E14" s="267" t="n"/>
      <c r="F14" s="267" t="n"/>
      <c r="G14" s="266" t="n"/>
      <c r="H14" s="266" t="n"/>
      <c r="I14" s="266" t="n"/>
      <c r="J14" s="266" t="n"/>
      <c r="K14" s="266" t="n"/>
      <c r="L14" s="266" t="n"/>
      <c r="M14" s="266" t="n"/>
    </row>
    <row r="15" ht="17" customHeight="1">
      <c r="A15" s="266" t="n">
        <v>4</v>
      </c>
      <c r="B15" s="266" t="n"/>
      <c r="C15" s="267" t="n"/>
      <c r="D15" s="267" t="n"/>
      <c r="E15" s="267" t="n"/>
      <c r="F15" s="267" t="n"/>
      <c r="G15" s="266" t="n"/>
      <c r="H15" s="266" t="n"/>
      <c r="I15" s="266" t="n"/>
      <c r="J15" s="266" t="n"/>
      <c r="K15" s="266" t="n"/>
      <c r="L15" s="266" t="n"/>
      <c r="M15" s="266" t="n"/>
    </row>
    <row r="16" ht="17" customHeight="1">
      <c r="A16" s="266" t="n">
        <v>5</v>
      </c>
      <c r="B16" s="266" t="n"/>
      <c r="C16" s="267" t="n"/>
      <c r="D16" s="267" t="n"/>
      <c r="E16" s="267" t="n"/>
      <c r="F16" s="267" t="n"/>
      <c r="G16" s="266" t="n"/>
      <c r="H16" s="266" t="n"/>
      <c r="I16" s="266" t="n"/>
      <c r="J16" s="266" t="n"/>
      <c r="K16" s="266" t="n"/>
      <c r="L16" s="266" t="n"/>
      <c r="M16" s="266" t="n"/>
    </row>
    <row r="17" ht="17" customHeight="1">
      <c r="A17" s="266" t="n">
        <v>6</v>
      </c>
      <c r="B17" s="266" t="n"/>
      <c r="C17" s="267" t="n"/>
      <c r="D17" s="267" t="n"/>
      <c r="E17" s="267" t="n"/>
      <c r="F17" s="267" t="n"/>
      <c r="G17" s="266" t="n"/>
      <c r="H17" s="266" t="n"/>
      <c r="I17" s="266" t="n"/>
      <c r="J17" s="266" t="n"/>
      <c r="K17" s="266" t="n"/>
      <c r="L17" s="266" t="n"/>
      <c r="M17" s="266" t="n"/>
    </row>
    <row r="18" ht="17" customHeight="1">
      <c r="A18" s="266" t="n">
        <v>7</v>
      </c>
      <c r="B18" s="266" t="n"/>
      <c r="C18" s="267" t="n"/>
      <c r="D18" s="267" t="n"/>
      <c r="E18" s="267" t="n"/>
      <c r="F18" s="267" t="n"/>
      <c r="G18" s="266" t="n"/>
      <c r="H18" s="266" t="n"/>
      <c r="I18" s="266" t="n"/>
      <c r="J18" s="266" t="n"/>
      <c r="K18" s="266" t="n"/>
      <c r="L18" s="266" t="n"/>
      <c r="M18" s="266" t="n"/>
    </row>
    <row r="19" ht="17" customHeight="1">
      <c r="A19" s="266" t="n">
        <v>8</v>
      </c>
      <c r="B19" s="266" t="n"/>
      <c r="C19" s="267" t="n"/>
      <c r="D19" s="267" t="n"/>
      <c r="E19" s="267" t="n"/>
      <c r="F19" s="267" t="n"/>
      <c r="G19" s="266" t="n"/>
      <c r="H19" s="266" t="n"/>
      <c r="I19" s="266" t="n"/>
      <c r="J19" s="266" t="n"/>
      <c r="K19" s="266" t="n"/>
      <c r="L19" s="266" t="n"/>
      <c r="M19" s="266" t="n"/>
    </row>
    <row r="20" ht="17" customHeight="1">
      <c r="A20" s="266" t="n">
        <v>9</v>
      </c>
      <c r="B20" s="266" t="n"/>
      <c r="C20" s="267" t="n"/>
      <c r="D20" s="267" t="n"/>
      <c r="E20" s="267" t="n"/>
      <c r="F20" s="267" t="n"/>
      <c r="G20" s="266" t="n"/>
      <c r="H20" s="266" t="n"/>
      <c r="I20" s="266" t="n"/>
      <c r="J20" s="266" t="n"/>
      <c r="K20" s="266" t="n"/>
      <c r="L20" s="266" t="n"/>
      <c r="M20" s="266" t="n"/>
    </row>
    <row r="21" ht="17" customHeight="1">
      <c r="A21" s="266" t="n">
        <v>10</v>
      </c>
      <c r="B21" s="266" t="n"/>
      <c r="C21" s="267" t="n"/>
      <c r="D21" s="267" t="n"/>
      <c r="E21" s="267" t="n"/>
      <c r="F21" s="267" t="n"/>
      <c r="G21" s="266" t="n"/>
      <c r="H21" s="266" t="n"/>
      <c r="I21" s="266" t="n"/>
      <c r="J21" s="266" t="n"/>
      <c r="K21" s="266" t="n"/>
      <c r="L21" s="266" t="n"/>
      <c r="M21" s="266" t="n"/>
    </row>
    <row r="22" ht="17" customHeight="1">
      <c r="A22" s="266" t="n">
        <v>11</v>
      </c>
      <c r="B22" s="266" t="n"/>
      <c r="C22" s="267" t="n"/>
      <c r="D22" s="267" t="n"/>
      <c r="E22" s="267" t="n"/>
      <c r="F22" s="267" t="n"/>
      <c r="G22" s="266" t="n"/>
      <c r="H22" s="266" t="n"/>
      <c r="I22" s="266" t="n"/>
      <c r="J22" s="266" t="n"/>
      <c r="K22" s="266" t="n"/>
      <c r="L22" s="266" t="n"/>
      <c r="M22" s="266" t="n"/>
    </row>
    <row r="23" ht="20" customHeight="1">
      <c r="A23" s="259" t="inlineStr">
        <is>
          <t>المجموع</t>
        </is>
      </c>
      <c r="B23" s="261" t="n"/>
      <c r="C23" s="268">
        <f>SUM(C12:C22)</f>
        <v/>
      </c>
      <c r="D23" s="269">
        <f>SUM(D12:D22)</f>
        <v/>
      </c>
      <c r="E23" s="268">
        <f>SUM(E12:E22)</f>
        <v/>
      </c>
      <c r="F23" s="269">
        <f>SUM(F12:F22)</f>
        <v/>
      </c>
      <c r="G23" s="270" t="n"/>
      <c r="H23" s="270" t="n"/>
      <c r="I23" s="270" t="n"/>
      <c r="J23" s="270" t="n"/>
      <c r="K23" s="270" t="n"/>
      <c r="L23" s="270" t="n"/>
      <c r="M23" s="270" t="n"/>
    </row>
    <row r="24" ht="20" customHeight="1">
      <c r="A24" s="271" t="inlineStr">
        <is>
          <t>الرصيد</t>
        </is>
      </c>
      <c r="B24" s="261" t="n"/>
      <c r="C24" s="272">
        <f>C7+C23-D23</f>
        <v/>
      </c>
      <c r="D24" s="261" t="n"/>
      <c r="E24" s="272">
        <f>C8+E23-F23</f>
        <v/>
      </c>
      <c r="F24" s="261" t="n"/>
      <c r="G24" s="273" t="n"/>
      <c r="H24" s="273" t="n"/>
      <c r="I24" s="273" t="n"/>
      <c r="J24" s="273" t="n"/>
      <c r="K24" s="273" t="n"/>
      <c r="L24" s="273" t="n"/>
      <c r="M24" s="273" t="n"/>
    </row>
    <row r="25">
      <c r="A25" s="229" t="n"/>
      <c r="B25" s="229" t="n"/>
      <c r="C25" s="229" t="n"/>
      <c r="D25" s="229" t="n"/>
      <c r="E25" s="229" t="n"/>
      <c r="F25" s="229" t="n"/>
      <c r="G25" s="229" t="n"/>
      <c r="H25" s="229" t="n"/>
      <c r="I25" s="229" t="n"/>
      <c r="J25" s="229" t="n"/>
      <c r="K25" s="229" t="n"/>
      <c r="L25" s="229" t="n"/>
      <c r="M25" s="229" t="n"/>
    </row>
    <row r="26" ht="17" customHeight="1">
      <c r="A26" s="274" t="inlineStr">
        <is>
          <t>الرصيد الحالي - دينار</t>
        </is>
      </c>
      <c r="B26" s="261" t="n"/>
      <c r="C26" s="275">
        <f>C24</f>
        <v/>
      </c>
      <c r="D26" s="276" t="inlineStr">
        <is>
          <t xml:space="preserve">      الرصيد الحالي</t>
        </is>
      </c>
      <c r="E26" s="277" t="n"/>
      <c r="F26" s="278" t="n"/>
      <c r="G26" s="276" t="inlineStr">
        <is>
          <t xml:space="preserve">      مجموع الاستيرادات</t>
        </is>
      </c>
      <c r="H26" s="277" t="n"/>
      <c r="I26" s="278" t="n"/>
      <c r="J26" s="276" t="inlineStr">
        <is>
          <t xml:space="preserve">      مجموع المصروفات والسحوبات</t>
        </is>
      </c>
      <c r="K26" s="277" t="n"/>
      <c r="L26" s="278" t="n"/>
      <c r="M26" s="229" t="n"/>
    </row>
    <row r="27" ht="26" customHeight="1">
      <c r="A27" s="274" t="inlineStr">
        <is>
          <t>الرصيد الحالي - دولار</t>
        </is>
      </c>
      <c r="B27" s="261" t="n"/>
      <c r="C27" s="279">
        <f>E24</f>
        <v/>
      </c>
      <c r="D27" s="280">
        <f>C24</f>
        <v/>
      </c>
      <c r="E27" s="277" t="n"/>
      <c r="F27" s="278" t="n"/>
      <c r="G27" s="281">
        <f>C23+E23</f>
        <v/>
      </c>
      <c r="H27" s="277" t="n"/>
      <c r="I27" s="278" t="n"/>
      <c r="J27" s="282">
        <f>D23+F23</f>
        <v/>
      </c>
      <c r="K27" s="277" t="n"/>
      <c r="L27" s="278" t="n"/>
      <c r="M27" s="229" t="n"/>
    </row>
    <row r="28" ht="16" customHeight="1">
      <c r="A28" s="229" t="n"/>
      <c r="B28" s="229" t="n"/>
      <c r="C28" s="229" t="n"/>
      <c r="D28" s="260" t="inlineStr">
        <is>
          <t>الرصيد الحالي = مجموع الاستيرادات − مجموع المصروفات والسحوبات</t>
        </is>
      </c>
      <c r="E28" s="263" t="n"/>
      <c r="F28" s="263" t="n"/>
      <c r="G28" s="263" t="n"/>
      <c r="H28" s="263" t="n"/>
      <c r="I28" s="263" t="n"/>
      <c r="J28" s="263" t="n"/>
      <c r="K28" s="263" t="n"/>
      <c r="L28" s="261" t="n"/>
      <c r="M28" s="229" t="n"/>
    </row>
    <row r="29">
      <c r="A29" s="229" t="n"/>
      <c r="B29" s="229" t="n"/>
      <c r="C29" s="229" t="n"/>
      <c r="D29" s="229" t="n"/>
      <c r="E29" s="229" t="n"/>
      <c r="F29" s="229" t="n"/>
      <c r="G29" s="229" t="n"/>
      <c r="H29" s="229" t="n"/>
      <c r="I29" s="229" t="n"/>
      <c r="J29" s="229" t="n"/>
      <c r="K29" s="229" t="n"/>
      <c r="L29" s="229" t="n"/>
      <c r="M29" s="229" t="n"/>
    </row>
    <row r="30" ht="20" customHeight="1">
      <c r="A30" s="283" t="inlineStr">
        <is>
          <t xml:space="preserve">      ملخص الوصولات</t>
        </is>
      </c>
      <c r="B30" s="263" t="n"/>
      <c r="C30" s="263" t="n"/>
      <c r="D30" s="263" t="n"/>
      <c r="E30" s="263" t="n"/>
      <c r="F30" s="261" t="n"/>
      <c r="G30" s="229" t="n"/>
      <c r="H30" s="283" t="inlineStr">
        <is>
          <t xml:space="preserve">      ملاحظات أمين الصندوق</t>
        </is>
      </c>
      <c r="I30" s="263" t="n"/>
      <c r="J30" s="263" t="n"/>
      <c r="K30" s="263" t="n"/>
      <c r="L30" s="263" t="n"/>
      <c r="M30" s="261" t="n"/>
    </row>
    <row r="31" ht="17" customHeight="1">
      <c r="A31" s="262" t="inlineStr">
        <is>
          <t>ت</t>
        </is>
      </c>
      <c r="B31" s="262" t="inlineStr">
        <is>
          <t>تفاصيل</t>
        </is>
      </c>
      <c r="C31" s="262" t="inlineStr">
        <is>
          <t>العدد</t>
        </is>
      </c>
      <c r="D31" s="262" t="inlineStr">
        <is>
          <t>المجموع</t>
        </is>
      </c>
      <c r="E31" s="270" t="n"/>
      <c r="F31" s="270" t="n"/>
      <c r="G31" s="229" t="n"/>
      <c r="H31" s="284" t="inlineStr">
        <is>
          <t>·  ·  ·  ·  ·  ·  ·  ·  ·  ·  ·  ·  ·  ·  ·  ·  ·  ·  ·  ·  ·  ·  ·  ·</t>
        </is>
      </c>
      <c r="I31" s="263" t="n"/>
      <c r="J31" s="263" t="n"/>
      <c r="K31" s="263" t="n"/>
      <c r="L31" s="263" t="n"/>
      <c r="M31" s="261" t="n"/>
    </row>
    <row r="32" ht="16" customHeight="1">
      <c r="A32" s="232" t="n">
        <v>1</v>
      </c>
      <c r="B32" s="232" t="inlineStr">
        <is>
          <t>وصل قبض</t>
        </is>
      </c>
      <c r="C32" s="232">
        <f>COUNTIF(J12:J22,"قبض")</f>
        <v/>
      </c>
      <c r="D32" s="285">
        <f>C23</f>
        <v/>
      </c>
      <c r="E32" s="232" t="n"/>
      <c r="F32" s="232" t="n"/>
      <c r="G32" s="229" t="n"/>
      <c r="H32" s="284" t="inlineStr">
        <is>
          <t>·  ·  ·  ·  ·  ·  ·  ·  ·  ·  ·  ·  ·  ·  ·  ·  ·  ·  ·  ·  ·  ·  ·  ·</t>
        </is>
      </c>
      <c r="I32" s="263" t="n"/>
      <c r="J32" s="263" t="n"/>
      <c r="K32" s="263" t="n"/>
      <c r="L32" s="263" t="n"/>
      <c r="M32" s="261" t="n"/>
    </row>
    <row r="33" ht="16" customHeight="1">
      <c r="A33" s="232" t="n">
        <v>2</v>
      </c>
      <c r="B33" s="232" t="inlineStr">
        <is>
          <t>قبض مصروف</t>
        </is>
      </c>
      <c r="C33" s="232">
        <f>COUNTIF(J12:J22,"مصروف")</f>
        <v/>
      </c>
      <c r="D33" s="286" t="n">
        <v>0</v>
      </c>
      <c r="E33" s="232" t="n"/>
      <c r="F33" s="232" t="n"/>
      <c r="G33" s="229" t="n"/>
      <c r="H33" s="284" t="inlineStr">
        <is>
          <t>·  ·  ·  ·  ·  ·  ·  ·  ·  ·  ·  ·  ·  ·  ·  ·  ·  ·  ·  ·  ·  ·  ·  ·</t>
        </is>
      </c>
      <c r="I33" s="263" t="n"/>
      <c r="J33" s="263" t="n"/>
      <c r="K33" s="263" t="n"/>
      <c r="L33" s="263" t="n"/>
      <c r="M33" s="261" t="n"/>
    </row>
    <row r="34" ht="16" customHeight="1">
      <c r="A34" s="232" t="n">
        <v>3</v>
      </c>
      <c r="B34" s="232" t="inlineStr">
        <is>
          <t>وصل صرف</t>
        </is>
      </c>
      <c r="C34" s="232">
        <f>COUNTIF(J12:J22,"صرف")</f>
        <v/>
      </c>
      <c r="D34" s="286">
        <f>D23</f>
        <v/>
      </c>
      <c r="E34" s="232" t="n"/>
      <c r="F34" s="232" t="n"/>
      <c r="G34" s="229" t="n"/>
      <c r="H34" s="284" t="inlineStr">
        <is>
          <t>·  ·  ·  ·  ·  ·  ·  ·  ·  ·  ·  ·  ·  ·  ·  ·  ·  ·  ·  ·  ·  ·  ·  ·</t>
        </is>
      </c>
      <c r="I34" s="263" t="n"/>
      <c r="J34" s="263" t="n"/>
      <c r="K34" s="263" t="n"/>
      <c r="L34" s="263" t="n"/>
      <c r="M34" s="261" t="n"/>
    </row>
    <row r="35" ht="16" customHeight="1">
      <c r="A35" s="232" t="n">
        <v>4</v>
      </c>
      <c r="B35" s="232" t="inlineStr">
        <is>
          <t>صرف مصرفي</t>
        </is>
      </c>
      <c r="C35" s="232" t="n">
        <v>0</v>
      </c>
      <c r="D35" s="286" t="n">
        <v>0</v>
      </c>
      <c r="E35" s="232" t="n"/>
      <c r="F35" s="232" t="n"/>
      <c r="G35" s="229" t="n"/>
      <c r="H35" s="284" t="inlineStr">
        <is>
          <t>·  ·  ·  ·  ·  ·  ·  ·  ·  ·  ·  ·  ·  ·  ·  ·  ·  ·  ·  ·  ·  ·  ·  ·</t>
        </is>
      </c>
      <c r="I35" s="263" t="n"/>
      <c r="J35" s="263" t="n"/>
      <c r="K35" s="263" t="n"/>
      <c r="L35" s="263" t="n"/>
      <c r="M35" s="261" t="n"/>
    </row>
    <row r="36" ht="16" customHeight="1">
      <c r="A36" s="232" t="n">
        <v>5</v>
      </c>
      <c r="B36" s="232" t="inlineStr">
        <is>
          <t>وصلات ملغاة</t>
        </is>
      </c>
      <c r="C36" s="232" t="n">
        <v>0</v>
      </c>
      <c r="D36" s="286" t="n">
        <v>0</v>
      </c>
      <c r="E36" s="232" t="n"/>
      <c r="F36" s="232" t="n"/>
      <c r="G36" s="229" t="n"/>
      <c r="H36" s="284" t="inlineStr">
        <is>
          <t>·  ·  ·  ·  ·  ·  ·  ·  ·  ·  ·  ·  ·  ·  ·  ·  ·  ·  ·  ·  ·  ·  ·  ·</t>
        </is>
      </c>
      <c r="I36" s="263" t="n"/>
      <c r="J36" s="263" t="n"/>
      <c r="K36" s="263" t="n"/>
      <c r="L36" s="263" t="n"/>
      <c r="M36" s="261" t="n"/>
    </row>
    <row r="37" ht="16" customHeight="1">
      <c r="A37" s="232" t="n">
        <v>6</v>
      </c>
      <c r="B37" s="232" t="inlineStr">
        <is>
          <t>وصلات باطلة</t>
        </is>
      </c>
      <c r="C37" s="232" t="n">
        <v>0</v>
      </c>
      <c r="D37" s="286" t="n">
        <v>0</v>
      </c>
      <c r="E37" s="232" t="n"/>
      <c r="F37" s="232" t="n"/>
      <c r="G37" s="229" t="n"/>
      <c r="H37" s="284" t="inlineStr">
        <is>
          <t>·  ·  ·  ·  ·  ·  ·  ·  ·  ·  ·  ·  ·  ·  ·  ·  ·  ·  ·  ·  ·  ·  ·  ·</t>
        </is>
      </c>
      <c r="I37" s="263" t="n"/>
      <c r="J37" s="263" t="n"/>
      <c r="K37" s="263" t="n"/>
      <c r="L37" s="263" t="n"/>
      <c r="M37" s="261" t="n"/>
    </row>
    <row r="38" ht="17" customHeight="1">
      <c r="A38" s="260" t="inlineStr">
        <is>
          <t>إجمالي الوصولات</t>
        </is>
      </c>
      <c r="B38" s="261" t="n"/>
      <c r="C38" s="260">
        <f>C32+C33+C34+C35+C36+C37</f>
        <v/>
      </c>
      <c r="D38" s="230" t="inlineStr"/>
      <c r="E38" s="270" t="n"/>
      <c r="F38" s="270" t="n"/>
      <c r="G38" s="229" t="n"/>
      <c r="H38" s="229" t="n"/>
      <c r="I38" s="229" t="n"/>
      <c r="J38" s="229" t="n"/>
      <c r="K38" s="229" t="n"/>
      <c r="L38" s="229" t="n"/>
      <c r="M38" s="229" t="n"/>
    </row>
    <row r="39">
      <c r="A39" s="229" t="n"/>
      <c r="B39" s="229" t="n"/>
      <c r="C39" s="229" t="n"/>
      <c r="D39" s="229" t="n"/>
      <c r="E39" s="229" t="n"/>
      <c r="F39" s="229" t="n"/>
      <c r="G39" s="229" t="n"/>
      <c r="H39" s="229" t="n"/>
      <c r="I39" s="229" t="n"/>
      <c r="J39" s="229" t="n"/>
      <c r="K39" s="229" t="n"/>
      <c r="L39" s="229" t="n"/>
      <c r="M39" s="229" t="n"/>
    </row>
    <row r="40" ht="16" customHeight="1">
      <c r="A40" s="287" t="inlineStr">
        <is>
          <t>أمين الصندوق</t>
        </is>
      </c>
      <c r="B40" s="59" t="n"/>
      <c r="C40" s="59" t="n"/>
      <c r="D40" s="59" t="n"/>
      <c r="E40" s="229" t="n"/>
      <c r="F40" s="229" t="n"/>
      <c r="G40" s="229" t="n"/>
      <c r="H40" s="229" t="n"/>
      <c r="I40" s="28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288" t="inlineStr">
        <is>
          <t>________________</t>
        </is>
      </c>
      <c r="B41" s="59" t="n"/>
      <c r="C41" s="59" t="n"/>
      <c r="D41" s="59" t="n"/>
      <c r="E41" s="229" t="n"/>
      <c r="F41" s="229" t="n"/>
      <c r="G41" s="229" t="n"/>
      <c r="H41" s="229" t="n"/>
      <c r="I41" s="288" t="inlineStr">
        <is>
          <t>________________</t>
        </is>
      </c>
      <c r="J41" s="59" t="n"/>
      <c r="K41" s="59" t="n"/>
      <c r="L41" s="59" t="n"/>
      <c r="M41" s="59" t="n"/>
    </row>
    <row r="42">
      <c r="A42" s="229" t="n"/>
      <c r="B42" s="229" t="n"/>
      <c r="C42" s="229" t="n"/>
      <c r="D42" s="229" t="n"/>
      <c r="E42" s="229" t="n"/>
      <c r="F42" s="229" t="n"/>
      <c r="G42" s="229" t="n"/>
      <c r="H42" s="229" t="n"/>
      <c r="I42" s="229" t="n"/>
      <c r="J42" s="229" t="n"/>
      <c r="K42" s="229" t="n"/>
      <c r="L42" s="229" t="n"/>
      <c r="M42" s="229" t="n"/>
    </row>
    <row r="43">
      <c r="A43" s="229" t="n"/>
      <c r="B43" s="229" t="n"/>
      <c r="C43" s="229" t="n"/>
      <c r="D43" s="229" t="n"/>
      <c r="E43" s="229" t="n"/>
      <c r="F43" s="229" t="n"/>
      <c r="G43" s="229" t="n"/>
      <c r="H43" s="229" t="n"/>
      <c r="I43" s="229" t="n"/>
      <c r="J43" s="229" t="n"/>
      <c r="K43" s="229" t="n"/>
      <c r="L43" s="229" t="n"/>
      <c r="M43" s="229" t="n"/>
    </row>
    <row r="44">
      <c r="A44" s="229" t="n"/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</row>
    <row r="45">
      <c r="A45" s="229" t="n"/>
      <c r="B45" s="229" t="n"/>
      <c r="C45" s="229" t="n"/>
      <c r="D45" s="229" t="n"/>
      <c r="E45" s="229" t="n"/>
      <c r="F45" s="229" t="n"/>
      <c r="G45" s="229" t="n"/>
      <c r="H45" s="229" t="n"/>
      <c r="I45" s="229" t="n"/>
      <c r="J45" s="229" t="n"/>
      <c r="K45" s="229" t="n"/>
      <c r="L45" s="229" t="n"/>
      <c r="M45" s="229" t="n"/>
    </row>
    <row r="46">
      <c r="A46" s="229" t="n"/>
      <c r="B46" s="229" t="n"/>
      <c r="C46" s="229" t="n"/>
      <c r="D46" s="229" t="n"/>
      <c r="E46" s="229" t="n"/>
      <c r="F46" s="229" t="n"/>
      <c r="G46" s="229" t="n"/>
      <c r="H46" s="229" t="n"/>
      <c r="I46" s="229" t="n"/>
      <c r="J46" s="229" t="n"/>
      <c r="K46" s="229" t="n"/>
      <c r="L46" s="229" t="n"/>
      <c r="M46" s="229" t="n"/>
    </row>
    <row r="47">
      <c r="A47" s="229" t="n"/>
      <c r="B47" s="229" t="n"/>
      <c r="C47" s="229" t="n"/>
      <c r="D47" s="229" t="n"/>
      <c r="E47" s="229" t="n"/>
      <c r="F47" s="229" t="n"/>
      <c r="G47" s="229" t="n"/>
      <c r="H47" s="229" t="n"/>
      <c r="I47" s="229" t="n"/>
      <c r="J47" s="229" t="n"/>
      <c r="K47" s="229" t="n"/>
      <c r="L47" s="229" t="n"/>
      <c r="M47" s="229" t="n"/>
    </row>
    <row r="48">
      <c r="A48" s="229" t="n"/>
      <c r="B48" s="229" t="n"/>
      <c r="C48" s="229" t="n"/>
      <c r="D48" s="229" t="n"/>
      <c r="E48" s="229" t="n"/>
      <c r="F48" s="229" t="n"/>
      <c r="G48" s="229" t="n"/>
      <c r="H48" s="229" t="n"/>
      <c r="I48" s="229" t="n"/>
      <c r="J48" s="229" t="n"/>
      <c r="K48" s="229" t="n"/>
      <c r="L48" s="229" t="n"/>
      <c r="M48" s="229" t="n"/>
    </row>
    <row r="49">
      <c r="A49" s="229" t="n"/>
      <c r="B49" s="229" t="n"/>
      <c r="C49" s="229" t="n"/>
      <c r="D49" s="229" t="n"/>
      <c r="E49" s="229" t="n"/>
      <c r="F49" s="229" t="n"/>
      <c r="G49" s="229" t="n"/>
      <c r="H49" s="229" t="n"/>
      <c r="I49" s="229" t="n"/>
      <c r="J49" s="229" t="n"/>
      <c r="K49" s="229" t="n"/>
      <c r="L49" s="229" t="n"/>
      <c r="M49" s="229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1" customWidth="1" min="9" max="9"/>
    <col width="9" customWidth="1" min="10" max="10"/>
    <col width="6" customWidth="1" min="11" max="11"/>
    <col width="10" customWidth="1" min="12" max="12"/>
    <col width="16" customWidth="1" min="13" max="13"/>
  </cols>
  <sheetData>
    <row r="1" ht="6" customHeight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</row>
    <row r="2" ht="18" customHeight="1">
      <c r="A2" s="49" t="n"/>
      <c r="B2" s="50" t="inlineStr">
        <is>
          <t>اليوم</t>
        </is>
      </c>
      <c r="C2" s="51" t="n"/>
      <c r="D2" s="52" t="inlineStr">
        <is>
          <t>التقرير اليومي لصندوق الغدير الفرعي - النجف</t>
        </is>
      </c>
      <c r="E2" s="53" t="n"/>
      <c r="F2" s="53" t="n"/>
      <c r="G2" s="53" t="n"/>
      <c r="H2" s="53" t="n"/>
      <c r="I2" s="53" t="n"/>
      <c r="J2" s="54" t="n"/>
      <c r="K2" s="55" t="n"/>
      <c r="L2" s="56" t="n"/>
      <c r="M2" s="57" t="n"/>
    </row>
    <row r="3" ht="18" customHeight="1">
      <c r="A3" s="49" t="n"/>
      <c r="B3" s="50" t="inlineStr">
        <is>
          <t>التاريخ</t>
        </is>
      </c>
      <c r="C3" s="51" t="n"/>
      <c r="D3" s="58" t="n"/>
      <c r="E3" s="59" t="n"/>
      <c r="F3" s="59" t="n"/>
      <c r="G3" s="59" t="n"/>
      <c r="H3" s="59" t="n"/>
      <c r="I3" s="59" t="n"/>
      <c r="J3" s="60" t="n"/>
      <c r="K3" s="61" t="n"/>
      <c r="L3" s="59" t="n"/>
      <c r="M3" s="62" t="n"/>
    </row>
    <row r="4" ht="18" customHeight="1">
      <c r="A4" s="49" t="n"/>
      <c r="B4" s="50" t="inlineStr">
        <is>
          <t>أمين الصندوق</t>
        </is>
      </c>
      <c r="C4" s="51" t="n"/>
      <c r="D4" s="58" t="n"/>
      <c r="E4" s="59" t="n"/>
      <c r="F4" s="59" t="n"/>
      <c r="G4" s="59" t="n"/>
      <c r="H4" s="59" t="n"/>
      <c r="I4" s="59" t="n"/>
      <c r="J4" s="60" t="n"/>
      <c r="K4" s="61" t="n"/>
      <c r="L4" s="59" t="n"/>
      <c r="M4" s="62" t="n"/>
    </row>
    <row r="5" ht="18" customHeight="1">
      <c r="A5" s="49" t="n"/>
      <c r="B5" s="50" t="inlineStr">
        <is>
          <t>سلم التقرير</t>
        </is>
      </c>
      <c r="C5" s="51" t="n"/>
      <c r="D5" s="63" t="n"/>
      <c r="E5" s="64" t="n"/>
      <c r="F5" s="64" t="n"/>
      <c r="G5" s="64" t="n"/>
      <c r="H5" s="64" t="n"/>
      <c r="I5" s="64" t="n"/>
      <c r="J5" s="65" t="n"/>
      <c r="K5" s="61" t="n"/>
      <c r="L5" s="59" t="n"/>
      <c r="M5" s="62" t="n"/>
    </row>
    <row r="6" ht="18" customHeight="1">
      <c r="A6" s="49" t="n"/>
      <c r="B6" s="50" t="inlineStr">
        <is>
          <t>اسم صندوق اليوم</t>
        </is>
      </c>
      <c r="C6" s="66" t="inlineStr">
        <is>
          <t>الغدير الفرعي - النجف</t>
        </is>
      </c>
      <c r="D6" s="49" t="n"/>
      <c r="E6" s="67" t="n"/>
      <c r="F6" s="67" t="n"/>
      <c r="G6" s="67" t="n"/>
      <c r="H6" s="67" t="n"/>
      <c r="I6" s="67" t="n"/>
      <c r="J6" s="68" t="n"/>
      <c r="K6" s="61" t="n"/>
      <c r="L6" s="59" t="n"/>
      <c r="M6" s="62" t="n"/>
    </row>
    <row r="7" ht="18" customHeight="1">
      <c r="A7" s="49" t="n"/>
      <c r="B7" s="50" t="inlineStr">
        <is>
          <t>الرصيد السابق - دينار</t>
        </is>
      </c>
      <c r="C7" s="69" t="n">
        <v>0</v>
      </c>
      <c r="D7" s="70" t="n"/>
      <c r="E7" s="59" t="n"/>
      <c r="F7" s="59" t="n"/>
      <c r="G7" s="59" t="n"/>
      <c r="H7" s="59" t="n"/>
      <c r="I7" s="59" t="n"/>
      <c r="J7" s="71" t="n"/>
      <c r="K7" s="61" t="n"/>
      <c r="L7" s="59" t="n"/>
      <c r="M7" s="62" t="n"/>
    </row>
    <row r="8" ht="18" customHeight="1">
      <c r="A8" s="49" t="n"/>
      <c r="B8" s="50" t="inlineStr">
        <is>
          <t>الرصيد السابق - دولار</t>
        </is>
      </c>
      <c r="C8" s="72" t="n">
        <v>0</v>
      </c>
      <c r="D8" s="73" t="n"/>
      <c r="E8" s="74" t="n"/>
      <c r="F8" s="74" t="n"/>
      <c r="G8" s="74" t="n"/>
      <c r="H8" s="74" t="n"/>
      <c r="I8" s="74" t="n"/>
      <c r="J8" s="75" t="n"/>
      <c r="K8" s="76" t="n"/>
      <c r="L8" s="77" t="n"/>
      <c r="M8" s="78" t="n"/>
    </row>
    <row r="9" ht="5" customHeight="1">
      <c r="A9" s="48" t="n"/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</row>
    <row r="10" ht="20" customHeight="1">
      <c r="A10" s="79" t="inlineStr">
        <is>
          <t>ت</t>
        </is>
      </c>
      <c r="B10" s="80" t="inlineStr">
        <is>
          <t>التفاصيل</t>
        </is>
      </c>
      <c r="C10" s="80" t="inlineStr">
        <is>
          <t>صندوق - الدينار</t>
        </is>
      </c>
      <c r="D10" s="81" t="n"/>
      <c r="E10" s="80" t="inlineStr">
        <is>
          <t>صندوق - الدولار</t>
        </is>
      </c>
      <c r="F10" s="81" t="n"/>
      <c r="G10" s="82" t="inlineStr">
        <is>
          <t>رقم المستند</t>
        </is>
      </c>
      <c r="H10" s="82" t="inlineStr">
        <is>
          <t>اسم الحساب العميل</t>
        </is>
      </c>
      <c r="I10" s="82" t="inlineStr">
        <is>
          <t>رقم الحركة المالية</t>
        </is>
      </c>
      <c r="J10" s="80" t="inlineStr">
        <is>
          <t>المستندات</t>
        </is>
      </c>
      <c r="K10" s="83" t="n"/>
      <c r="L10" s="81" t="n"/>
      <c r="M10" s="82" t="inlineStr">
        <is>
          <t>التفاصيل</t>
        </is>
      </c>
    </row>
    <row r="11" ht="18" customHeight="1">
      <c r="A11" s="84" t="n"/>
      <c r="B11" s="84" t="n"/>
      <c r="C11" s="85" t="inlineStr">
        <is>
          <t>متنوعات</t>
        </is>
      </c>
      <c r="D11" s="85" t="inlineStr">
        <is>
          <t>مصروفات</t>
        </is>
      </c>
      <c r="E11" s="85" t="inlineStr">
        <is>
          <t>متنوعات</t>
        </is>
      </c>
      <c r="F11" s="85" t="inlineStr">
        <is>
          <t>مصروفات</t>
        </is>
      </c>
      <c r="G11" s="84" t="n"/>
      <c r="H11" s="84" t="n"/>
      <c r="I11" s="84" t="n"/>
      <c r="J11" s="85" t="inlineStr">
        <is>
          <t>نوع المستند</t>
        </is>
      </c>
      <c r="K11" s="85" t="inlineStr">
        <is>
          <t>تسلسل</t>
        </is>
      </c>
      <c r="L11" s="85" t="inlineStr">
        <is>
          <t>رقم المستند</t>
        </is>
      </c>
      <c r="M11" s="84" t="n"/>
    </row>
    <row r="12" ht="17" customHeight="1">
      <c r="A12" s="86" t="n">
        <v>1</v>
      </c>
      <c r="B12" s="86" t="n"/>
      <c r="C12" s="88" t="n"/>
      <c r="D12" s="88" t="n"/>
      <c r="E12" s="88" t="n"/>
      <c r="F12" s="88" t="n"/>
      <c r="G12" s="86" t="n"/>
      <c r="H12" s="86" t="n"/>
      <c r="I12" s="86" t="n"/>
      <c r="J12" s="86" t="n"/>
      <c r="K12" s="86" t="n"/>
      <c r="L12" s="86" t="n"/>
      <c r="M12" s="86" t="n"/>
    </row>
    <row r="13" ht="17" customHeight="1">
      <c r="A13" s="86" t="n">
        <v>2</v>
      </c>
      <c r="B13" s="86" t="n"/>
      <c r="C13" s="88" t="n"/>
      <c r="D13" s="88" t="n"/>
      <c r="E13" s="88" t="n"/>
      <c r="F13" s="88" t="n"/>
      <c r="G13" s="86" t="n"/>
      <c r="H13" s="86" t="n"/>
      <c r="I13" s="86" t="n"/>
      <c r="J13" s="86" t="n"/>
      <c r="K13" s="86" t="n"/>
      <c r="L13" s="86" t="n"/>
      <c r="M13" s="86" t="n"/>
    </row>
    <row r="14" ht="17" customHeight="1">
      <c r="A14" s="86" t="n">
        <v>3</v>
      </c>
      <c r="B14" s="86" t="n"/>
      <c r="C14" s="88" t="n"/>
      <c r="D14" s="88" t="n"/>
      <c r="E14" s="88" t="n"/>
      <c r="F14" s="88" t="n"/>
      <c r="G14" s="86" t="n"/>
      <c r="H14" s="86" t="n"/>
      <c r="I14" s="86" t="n"/>
      <c r="J14" s="86" t="n"/>
      <c r="K14" s="86" t="n"/>
      <c r="L14" s="86" t="n"/>
      <c r="M14" s="86" t="n"/>
    </row>
    <row r="15" ht="17" customHeight="1">
      <c r="A15" s="86" t="n">
        <v>4</v>
      </c>
      <c r="B15" s="86" t="n"/>
      <c r="C15" s="88" t="n"/>
      <c r="D15" s="88" t="n"/>
      <c r="E15" s="88" t="n"/>
      <c r="F15" s="88" t="n"/>
      <c r="G15" s="86" t="n"/>
      <c r="H15" s="86" t="n"/>
      <c r="I15" s="86" t="n"/>
      <c r="J15" s="86" t="n"/>
      <c r="K15" s="86" t="n"/>
      <c r="L15" s="86" t="n"/>
      <c r="M15" s="86" t="n"/>
    </row>
    <row r="16" ht="17" customHeight="1">
      <c r="A16" s="86" t="n">
        <v>5</v>
      </c>
      <c r="B16" s="86" t="n"/>
      <c r="C16" s="88" t="n"/>
      <c r="D16" s="88" t="n"/>
      <c r="E16" s="88" t="n"/>
      <c r="F16" s="88" t="n"/>
      <c r="G16" s="86" t="n"/>
      <c r="H16" s="86" t="n"/>
      <c r="I16" s="86" t="n"/>
      <c r="J16" s="86" t="n"/>
      <c r="K16" s="86" t="n"/>
      <c r="L16" s="86" t="n"/>
      <c r="M16" s="86" t="n"/>
    </row>
    <row r="17" ht="17" customHeight="1">
      <c r="A17" s="86" t="n">
        <v>6</v>
      </c>
      <c r="B17" s="86" t="n"/>
      <c r="C17" s="88" t="n"/>
      <c r="D17" s="88" t="n"/>
      <c r="E17" s="88" t="n"/>
      <c r="F17" s="88" t="n"/>
      <c r="G17" s="86" t="n"/>
      <c r="H17" s="86" t="n"/>
      <c r="I17" s="86" t="n"/>
      <c r="J17" s="86" t="n"/>
      <c r="K17" s="86" t="n"/>
      <c r="L17" s="86" t="n"/>
      <c r="M17" s="86" t="n"/>
    </row>
    <row r="18" ht="17" customHeight="1">
      <c r="A18" s="86" t="n">
        <v>7</v>
      </c>
      <c r="B18" s="86" t="n"/>
      <c r="C18" s="88" t="n"/>
      <c r="D18" s="88" t="n"/>
      <c r="E18" s="88" t="n"/>
      <c r="F18" s="88" t="n"/>
      <c r="G18" s="86" t="n"/>
      <c r="H18" s="86" t="n"/>
      <c r="I18" s="86" t="n"/>
      <c r="J18" s="86" t="n"/>
      <c r="K18" s="86" t="n"/>
      <c r="L18" s="86" t="n"/>
      <c r="M18" s="86" t="n"/>
    </row>
    <row r="19" ht="17" customHeight="1">
      <c r="A19" s="86" t="n">
        <v>8</v>
      </c>
      <c r="B19" s="86" t="n"/>
      <c r="C19" s="88" t="n"/>
      <c r="D19" s="88" t="n"/>
      <c r="E19" s="88" t="n"/>
      <c r="F19" s="88" t="n"/>
      <c r="G19" s="86" t="n"/>
      <c r="H19" s="86" t="n"/>
      <c r="I19" s="86" t="n"/>
      <c r="J19" s="86" t="n"/>
      <c r="K19" s="86" t="n"/>
      <c r="L19" s="86" t="n"/>
      <c r="M19" s="86" t="n"/>
    </row>
    <row r="20" ht="17" customHeight="1">
      <c r="A20" s="86" t="n">
        <v>9</v>
      </c>
      <c r="B20" s="86" t="n"/>
      <c r="C20" s="88" t="n"/>
      <c r="D20" s="88" t="n"/>
      <c r="E20" s="88" t="n"/>
      <c r="F20" s="88" t="n"/>
      <c r="G20" s="86" t="n"/>
      <c r="H20" s="86" t="n"/>
      <c r="I20" s="86" t="n"/>
      <c r="J20" s="86" t="n"/>
      <c r="K20" s="86" t="n"/>
      <c r="L20" s="86" t="n"/>
      <c r="M20" s="86" t="n"/>
    </row>
    <row r="21" ht="17" customHeight="1">
      <c r="A21" s="86" t="n">
        <v>10</v>
      </c>
      <c r="B21" s="86" t="n"/>
      <c r="C21" s="88" t="n"/>
      <c r="D21" s="88" t="n"/>
      <c r="E21" s="88" t="n"/>
      <c r="F21" s="88" t="n"/>
      <c r="G21" s="86" t="n"/>
      <c r="H21" s="86" t="n"/>
      <c r="I21" s="86" t="n"/>
      <c r="J21" s="86" t="n"/>
      <c r="K21" s="86" t="n"/>
      <c r="L21" s="86" t="n"/>
      <c r="M21" s="86" t="n"/>
    </row>
    <row r="22" ht="17" customHeight="1">
      <c r="A22" s="86" t="n">
        <v>11</v>
      </c>
      <c r="B22" s="86" t="n"/>
      <c r="C22" s="88" t="n"/>
      <c r="D22" s="88" t="n"/>
      <c r="E22" s="88" t="n"/>
      <c r="F22" s="88" t="n"/>
      <c r="G22" s="86" t="n"/>
      <c r="H22" s="86" t="n"/>
      <c r="I22" s="86" t="n"/>
      <c r="J22" s="86" t="n"/>
      <c r="K22" s="86" t="n"/>
      <c r="L22" s="86" t="n"/>
      <c r="M22" s="86" t="n"/>
    </row>
    <row r="23" ht="20" customHeight="1">
      <c r="A23" s="79" t="inlineStr">
        <is>
          <t>المجموع</t>
        </is>
      </c>
      <c r="B23" s="81" t="n"/>
      <c r="C23" s="90">
        <f>SUM(C12:C22)</f>
        <v/>
      </c>
      <c r="D23" s="91">
        <f>SUM(D12:D22)</f>
        <v/>
      </c>
      <c r="E23" s="90">
        <f>SUM(E12:E22)</f>
        <v/>
      </c>
      <c r="F23" s="91">
        <f>SUM(F12:F22)</f>
        <v/>
      </c>
      <c r="G23" s="92" t="n"/>
      <c r="H23" s="92" t="n"/>
      <c r="I23" s="92" t="n"/>
      <c r="J23" s="92" t="n"/>
      <c r="K23" s="92" t="n"/>
      <c r="L23" s="92" t="n"/>
      <c r="M23" s="92" t="n"/>
    </row>
    <row r="24" ht="20" customHeight="1">
      <c r="A24" s="93" t="inlineStr">
        <is>
          <t>الرصيد</t>
        </is>
      </c>
      <c r="B24" s="81" t="n"/>
      <c r="C24" s="94">
        <f>C7+C23-D23</f>
        <v/>
      </c>
      <c r="D24" s="81" t="n"/>
      <c r="E24" s="94">
        <f>C8+E23-F23</f>
        <v/>
      </c>
      <c r="F24" s="81" t="n"/>
      <c r="G24" s="95" t="n"/>
      <c r="H24" s="95" t="n"/>
      <c r="I24" s="95" t="n"/>
      <c r="J24" s="95" t="n"/>
      <c r="K24" s="95" t="n"/>
      <c r="L24" s="95" t="n"/>
      <c r="M24" s="95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</row>
    <row r="26" ht="17" customHeight="1">
      <c r="A26" s="96" t="inlineStr">
        <is>
          <t>الرصيد الحالي - دينار</t>
        </is>
      </c>
      <c r="B26" s="81" t="n"/>
      <c r="C26" s="97">
        <f>C24</f>
        <v/>
      </c>
      <c r="D26" s="98" t="inlineStr">
        <is>
          <t xml:space="preserve">      الرصيد الحالي</t>
        </is>
      </c>
      <c r="E26" s="99" t="n"/>
      <c r="F26" s="100" t="n"/>
      <c r="G26" s="98" t="inlineStr">
        <is>
          <t xml:space="preserve">      مجموع الاستيرادات</t>
        </is>
      </c>
      <c r="H26" s="99" t="n"/>
      <c r="I26" s="100" t="n"/>
      <c r="J26" s="98" t="inlineStr">
        <is>
          <t xml:space="preserve">      مجموع المصروفات والسحوبات</t>
        </is>
      </c>
      <c r="K26" s="99" t="n"/>
      <c r="L26" s="100" t="n"/>
      <c r="M26" s="48" t="n"/>
    </row>
    <row r="27" ht="26" customHeight="1">
      <c r="A27" s="96" t="inlineStr">
        <is>
          <t>الرصيد الحالي - دولار</t>
        </is>
      </c>
      <c r="B27" s="81" t="n"/>
      <c r="C27" s="101">
        <f>E24</f>
        <v/>
      </c>
      <c r="D27" s="102">
        <f>C24</f>
        <v/>
      </c>
      <c r="E27" s="99" t="n"/>
      <c r="F27" s="100" t="n"/>
      <c r="G27" s="103">
        <f>C23+E23</f>
        <v/>
      </c>
      <c r="H27" s="99" t="n"/>
      <c r="I27" s="100" t="n"/>
      <c r="J27" s="104">
        <f>D23+F23</f>
        <v/>
      </c>
      <c r="K27" s="99" t="n"/>
      <c r="L27" s="100" t="n"/>
      <c r="M27" s="48" t="n"/>
    </row>
    <row r="28" ht="16" customHeight="1">
      <c r="A28" s="48" t="n"/>
      <c r="B28" s="48" t="n"/>
      <c r="C28" s="48" t="n"/>
      <c r="D28" s="80" t="inlineStr">
        <is>
          <t>الرصيد الحالي = مجموع الاستيرادات − مجموع المصروفات والسحوبات</t>
        </is>
      </c>
      <c r="E28" s="83" t="n"/>
      <c r="F28" s="83" t="n"/>
      <c r="G28" s="83" t="n"/>
      <c r="H28" s="83" t="n"/>
      <c r="I28" s="83" t="n"/>
      <c r="J28" s="83" t="n"/>
      <c r="K28" s="83" t="n"/>
      <c r="L28" s="81" t="n"/>
      <c r="M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</row>
    <row r="30" ht="20" customHeight="1">
      <c r="A30" s="105" t="inlineStr">
        <is>
          <t xml:space="preserve">      ملخص الوصولات</t>
        </is>
      </c>
      <c r="B30" s="83" t="n"/>
      <c r="C30" s="83" t="n"/>
      <c r="D30" s="83" t="n"/>
      <c r="E30" s="83" t="n"/>
      <c r="F30" s="81" t="n"/>
      <c r="G30" s="48" t="n"/>
      <c r="H30" s="105" t="inlineStr">
        <is>
          <t xml:space="preserve">      ملاحظات أمين الصندوق</t>
        </is>
      </c>
      <c r="I30" s="83" t="n"/>
      <c r="J30" s="83" t="n"/>
      <c r="K30" s="83" t="n"/>
      <c r="L30" s="83" t="n"/>
      <c r="M30" s="81" t="n"/>
    </row>
    <row r="31" ht="17" customHeight="1">
      <c r="A31" s="82" t="inlineStr">
        <is>
          <t>ت</t>
        </is>
      </c>
      <c r="B31" s="82" t="inlineStr">
        <is>
          <t>تفاصيل</t>
        </is>
      </c>
      <c r="C31" s="82" t="inlineStr">
        <is>
          <t>العدد</t>
        </is>
      </c>
      <c r="D31" s="82" t="inlineStr">
        <is>
          <t>المجموع</t>
        </is>
      </c>
      <c r="E31" s="92" t="n"/>
      <c r="F31" s="92" t="n"/>
      <c r="G31" s="48" t="n"/>
      <c r="H31" s="106" t="inlineStr">
        <is>
          <t>·  ·  ·  ·  ·  ·  ·  ·  ·  ·  ·  ·  ·  ·  ·  ·  ·  ·  ·  ·  ·  ·  ·  ·</t>
        </is>
      </c>
      <c r="I31" s="83" t="n"/>
      <c r="J31" s="83" t="n"/>
      <c r="K31" s="83" t="n"/>
      <c r="L31" s="83" t="n"/>
      <c r="M31" s="81" t="n"/>
    </row>
    <row r="32" ht="16" customHeight="1">
      <c r="A32" s="51" t="n">
        <v>1</v>
      </c>
      <c r="B32" s="51" t="inlineStr">
        <is>
          <t>وصل قبض</t>
        </is>
      </c>
      <c r="C32" s="51">
        <f>COUNTIF(J12:J22,"قبض")</f>
        <v/>
      </c>
      <c r="D32" s="87">
        <f>C23</f>
        <v/>
      </c>
      <c r="E32" s="51" t="n"/>
      <c r="F32" s="51" t="n"/>
      <c r="G32" s="48" t="n"/>
      <c r="H32" s="106" t="inlineStr">
        <is>
          <t>·  ·  ·  ·  ·  ·  ·  ·  ·  ·  ·  ·  ·  ·  ·  ·  ·  ·  ·  ·  ·  ·  ·  ·</t>
        </is>
      </c>
      <c r="I32" s="83" t="n"/>
      <c r="J32" s="83" t="n"/>
      <c r="K32" s="83" t="n"/>
      <c r="L32" s="83" t="n"/>
      <c r="M32" s="81" t="n"/>
    </row>
    <row r="33" ht="16" customHeight="1">
      <c r="A33" s="51" t="n">
        <v>2</v>
      </c>
      <c r="B33" s="51" t="inlineStr">
        <is>
          <t>قبض مصروف</t>
        </is>
      </c>
      <c r="C33" s="51">
        <f>COUNTIF(J12:J22,"مصروف")</f>
        <v/>
      </c>
      <c r="D33" s="89" t="n">
        <v>0</v>
      </c>
      <c r="E33" s="51" t="n"/>
      <c r="F33" s="51" t="n"/>
      <c r="G33" s="48" t="n"/>
      <c r="H33" s="106" t="inlineStr">
        <is>
          <t>·  ·  ·  ·  ·  ·  ·  ·  ·  ·  ·  ·  ·  ·  ·  ·  ·  ·  ·  ·  ·  ·  ·  ·</t>
        </is>
      </c>
      <c r="I33" s="83" t="n"/>
      <c r="J33" s="83" t="n"/>
      <c r="K33" s="83" t="n"/>
      <c r="L33" s="83" t="n"/>
      <c r="M33" s="81" t="n"/>
    </row>
    <row r="34" ht="16" customHeight="1">
      <c r="A34" s="51" t="n">
        <v>3</v>
      </c>
      <c r="B34" s="51" t="inlineStr">
        <is>
          <t>وصل صرف</t>
        </is>
      </c>
      <c r="C34" s="51">
        <f>COUNTIF(J12:J22,"صرف")</f>
        <v/>
      </c>
      <c r="D34" s="89">
        <f>D23</f>
        <v/>
      </c>
      <c r="E34" s="51" t="n"/>
      <c r="F34" s="51" t="n"/>
      <c r="G34" s="48" t="n"/>
      <c r="H34" s="106" t="inlineStr">
        <is>
          <t>·  ·  ·  ·  ·  ·  ·  ·  ·  ·  ·  ·  ·  ·  ·  ·  ·  ·  ·  ·  ·  ·  ·  ·</t>
        </is>
      </c>
      <c r="I34" s="83" t="n"/>
      <c r="J34" s="83" t="n"/>
      <c r="K34" s="83" t="n"/>
      <c r="L34" s="83" t="n"/>
      <c r="M34" s="81" t="n"/>
    </row>
    <row r="35" ht="16" customHeight="1">
      <c r="A35" s="51" t="n">
        <v>4</v>
      </c>
      <c r="B35" s="51" t="inlineStr">
        <is>
          <t>صرف مصرفي</t>
        </is>
      </c>
      <c r="C35" s="51" t="n">
        <v>0</v>
      </c>
      <c r="D35" s="89" t="n">
        <v>0</v>
      </c>
      <c r="E35" s="51" t="n"/>
      <c r="F35" s="51" t="n"/>
      <c r="G35" s="48" t="n"/>
      <c r="H35" s="106" t="inlineStr">
        <is>
          <t>·  ·  ·  ·  ·  ·  ·  ·  ·  ·  ·  ·  ·  ·  ·  ·  ·  ·  ·  ·  ·  ·  ·  ·</t>
        </is>
      </c>
      <c r="I35" s="83" t="n"/>
      <c r="J35" s="83" t="n"/>
      <c r="K35" s="83" t="n"/>
      <c r="L35" s="83" t="n"/>
      <c r="M35" s="81" t="n"/>
    </row>
    <row r="36" ht="16" customHeight="1">
      <c r="A36" s="51" t="n">
        <v>5</v>
      </c>
      <c r="B36" s="51" t="inlineStr">
        <is>
          <t>وصلات ملغاة</t>
        </is>
      </c>
      <c r="C36" s="51" t="n">
        <v>0</v>
      </c>
      <c r="D36" s="89" t="n">
        <v>0</v>
      </c>
      <c r="E36" s="51" t="n"/>
      <c r="F36" s="51" t="n"/>
      <c r="G36" s="48" t="n"/>
      <c r="H36" s="106" t="inlineStr">
        <is>
          <t>·  ·  ·  ·  ·  ·  ·  ·  ·  ·  ·  ·  ·  ·  ·  ·  ·  ·  ·  ·  ·  ·  ·  ·</t>
        </is>
      </c>
      <c r="I36" s="83" t="n"/>
      <c r="J36" s="83" t="n"/>
      <c r="K36" s="83" t="n"/>
      <c r="L36" s="83" t="n"/>
      <c r="M36" s="81" t="n"/>
    </row>
    <row r="37" ht="16" customHeight="1">
      <c r="A37" s="51" t="n">
        <v>6</v>
      </c>
      <c r="B37" s="51" t="inlineStr">
        <is>
          <t>وصلات باطلة</t>
        </is>
      </c>
      <c r="C37" s="51" t="n">
        <v>0</v>
      </c>
      <c r="D37" s="89" t="n">
        <v>0</v>
      </c>
      <c r="E37" s="51" t="n"/>
      <c r="F37" s="51" t="n"/>
      <c r="G37" s="48" t="n"/>
      <c r="H37" s="106" t="inlineStr">
        <is>
          <t>·  ·  ·  ·  ·  ·  ·  ·  ·  ·  ·  ·  ·  ·  ·  ·  ·  ·  ·  ·  ·  ·  ·  ·</t>
        </is>
      </c>
      <c r="I37" s="83" t="n"/>
      <c r="J37" s="83" t="n"/>
      <c r="K37" s="83" t="n"/>
      <c r="L37" s="83" t="n"/>
      <c r="M37" s="81" t="n"/>
    </row>
    <row r="38" ht="17" customHeight="1">
      <c r="A38" s="80" t="inlineStr">
        <is>
          <t>إجمالي الوصولات</t>
        </is>
      </c>
      <c r="B38" s="81" t="n"/>
      <c r="C38" s="80">
        <f>C32+C33+C34+C35+C36+C37</f>
        <v/>
      </c>
      <c r="D38" s="49" t="inlineStr"/>
      <c r="E38" s="92" t="n"/>
      <c r="F38" s="92" t="n"/>
      <c r="G38" s="48" t="n"/>
      <c r="H38" s="48" t="n"/>
      <c r="I38" s="48" t="n"/>
      <c r="J38" s="48" t="n"/>
      <c r="K38" s="48" t="n"/>
      <c r="L38" s="48" t="n"/>
      <c r="M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</row>
    <row r="40" ht="16" customHeight="1">
      <c r="A40" s="107" t="inlineStr">
        <is>
          <t>أمين الصندوق</t>
        </is>
      </c>
      <c r="B40" s="59" t="n"/>
      <c r="C40" s="59" t="n"/>
      <c r="D40" s="59" t="n"/>
      <c r="E40" s="48" t="n"/>
      <c r="F40" s="48" t="n"/>
      <c r="G40" s="48" t="n"/>
      <c r="H40" s="48" t="n"/>
      <c r="I40" s="107" t="inlineStr">
        <is>
          <t>المدير المالي</t>
        </is>
      </c>
      <c r="J40" s="59" t="n"/>
      <c r="K40" s="59" t="n"/>
      <c r="L40" s="59" t="n"/>
      <c r="M40" s="59" t="n"/>
    </row>
    <row r="41" ht="30" customHeight="1">
      <c r="A41" s="108" t="inlineStr">
        <is>
          <t>________________</t>
        </is>
      </c>
      <c r="B41" s="59" t="n"/>
      <c r="C41" s="59" t="n"/>
      <c r="D41" s="59" t="n"/>
      <c r="E41" s="48" t="n"/>
      <c r="F41" s="48" t="n"/>
      <c r="G41" s="48" t="n"/>
      <c r="H41" s="48" t="n"/>
      <c r="I41" s="108" t="inlineStr">
        <is>
          <t>________________</t>
        </is>
      </c>
      <c r="J41" s="59" t="n"/>
      <c r="K41" s="59" t="n"/>
      <c r="L41" s="59" t="n"/>
      <c r="M41" s="59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</row>
  </sheetData>
  <mergeCells count="39">
    <mergeCell ref="A24:B24"/>
    <mergeCell ref="C24:D24"/>
    <mergeCell ref="D27:F27"/>
    <mergeCell ref="E24:F24"/>
    <mergeCell ref="H36:M36"/>
    <mergeCell ref="J27:L27"/>
    <mergeCell ref="J26:L26"/>
    <mergeCell ref="G10:G11"/>
    <mergeCell ref="M10:M11"/>
    <mergeCell ref="D2:J5"/>
    <mergeCell ref="A40:D40"/>
    <mergeCell ref="C10:D10"/>
    <mergeCell ref="H32:M32"/>
    <mergeCell ref="E10:F10"/>
    <mergeCell ref="D28:L28"/>
    <mergeCell ref="H37:M37"/>
    <mergeCell ref="I41:M41"/>
    <mergeCell ref="G26:I26"/>
    <mergeCell ref="B10:B11"/>
    <mergeCell ref="A27:B27"/>
    <mergeCell ref="A26:B26"/>
    <mergeCell ref="D6:J8"/>
    <mergeCell ref="H33:M33"/>
    <mergeCell ref="K2:M8"/>
    <mergeCell ref="D26:F26"/>
    <mergeCell ref="H30:M30"/>
    <mergeCell ref="A41:D41"/>
    <mergeCell ref="A23:B23"/>
    <mergeCell ref="A10:A11"/>
    <mergeCell ref="H35:M35"/>
    <mergeCell ref="A30:F30"/>
    <mergeCell ref="I10:I11"/>
    <mergeCell ref="A38:B38"/>
    <mergeCell ref="J10:L10"/>
    <mergeCell ref="G27:I27"/>
    <mergeCell ref="H31:M31"/>
    <mergeCell ref="H34:M34"/>
    <mergeCell ref="H10:H11"/>
    <mergeCell ref="I40:M4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2026-08-25T10:46:22Z</dcterms:created>
  <dcterms:modified xsi:type="dcterms:W3CDTF">2026-08-25T11:03:33Z</dcterms:modified>
</cp:coreProperties>
</file>