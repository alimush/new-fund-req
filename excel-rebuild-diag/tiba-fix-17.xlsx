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طيبة النجف" state="visible" r:id="rId4"/>
  </sheets>
  <definedNames>
    <definedName name="_xlnm.Print_Area" localSheetId="0">'طيبة النجف'!$A1:$K50</definedName>
  </definedNames>
  <calcPr calcId="171027"/>
</workbook>
</file>

<file path=xl/sharedStrings.xml><?xml version="1.0" encoding="utf-8"?>
<sst xmlns="http://schemas.openxmlformats.org/spreadsheetml/2006/main" count="100" uniqueCount="80">
  <si>
    <t>اليوم</t>
  </si>
  <si>
    <t>الأحد</t>
  </si>
  <si>
    <t>التقرير اليومي لصندوق طيبة النجف</t>
  </si>
  <si>
    <t>التاريخ</t>
  </si>
  <si>
    <t>2026-09-27</t>
  </si>
  <si>
    <t>أمين الصندوق</t>
  </si>
  <si>
    <t>admin</t>
  </si>
  <si>
    <t>اسم صندوق اليوم</t>
  </si>
  <si>
    <t>طيبة النجف</t>
  </si>
  <si>
    <t>الرصيد السابق - دينار</t>
  </si>
  <si>
    <t>الرصيد السابق - دولار</t>
  </si>
  <si>
    <t>ت</t>
  </si>
  <si>
    <t>التفاصيل</t>
  </si>
  <si>
    <t>صندوق - الدينار</t>
  </si>
  <si>
    <t>صندوق - الدولار</t>
  </si>
  <si>
    <t>اسم الحساب المصرفي</t>
  </si>
  <si>
    <t>رقم الصك</t>
  </si>
  <si>
    <t>المستندات</t>
  </si>
  <si>
    <t>مقبوضات</t>
  </si>
  <si>
    <t>مصروفات</t>
  </si>
  <si>
    <t>نوع المستند</t>
  </si>
  <si>
    <t>سعر الصرف</t>
  </si>
  <si>
    <t>رقم الوصل</t>
  </si>
  <si>
    <t>وصف 1</t>
  </si>
  <si>
    <t>قبض</t>
  </si>
  <si>
    <t>00001</t>
  </si>
  <si>
    <t>وصف 2</t>
  </si>
  <si>
    <t>صرف</t>
  </si>
  <si>
    <t>00002</t>
  </si>
  <si>
    <t>وصف 3</t>
  </si>
  <si>
    <t>00003</t>
  </si>
  <si>
    <t>وصف 4</t>
  </si>
  <si>
    <t>00004</t>
  </si>
  <si>
    <t>وصف 5</t>
  </si>
  <si>
    <t>00005</t>
  </si>
  <si>
    <t>وصف 6</t>
  </si>
  <si>
    <t>00006</t>
  </si>
  <si>
    <t>وصف 7</t>
  </si>
  <si>
    <t>00007</t>
  </si>
  <si>
    <t>وصف 8</t>
  </si>
  <si>
    <t>00008</t>
  </si>
  <si>
    <t>وصف 9</t>
  </si>
  <si>
    <t>00009</t>
  </si>
  <si>
    <t>وصف 10</t>
  </si>
  <si>
    <t>00010</t>
  </si>
  <si>
    <t>وصف 11</t>
  </si>
  <si>
    <t>00011</t>
  </si>
  <si>
    <t>وصف 12</t>
  </si>
  <si>
    <t>00012</t>
  </si>
  <si>
    <t>وصف 13</t>
  </si>
  <si>
    <t>00013</t>
  </si>
  <si>
    <t>وصف 14</t>
  </si>
  <si>
    <t>00014</t>
  </si>
  <si>
    <t>وصف 15</t>
  </si>
  <si>
    <t>00015</t>
  </si>
  <si>
    <t>وصف 16</t>
  </si>
  <si>
    <t>00016</t>
  </si>
  <si>
    <t>وصف 17</t>
  </si>
  <si>
    <t>00017</t>
  </si>
  <si>
    <t>المجموع</t>
  </si>
  <si>
    <t>الرصيد</t>
  </si>
  <si>
    <t xml:space="preserve">      الرصيد الحالي</t>
  </si>
  <si>
    <t xml:space="preserve">      مجموع الاستيرادات</t>
  </si>
  <si>
    <t xml:space="preserve">      مجموع المصروفات والسحوبات</t>
  </si>
  <si>
    <t>دينار</t>
  </si>
  <si>
    <t>دولار</t>
  </si>
  <si>
    <t>الرصيد الحالي = مجموع الاستيرادات − مجموع المصروفات والسحوبات</t>
  </si>
  <si>
    <t xml:space="preserve">      ملخص الوصولات</t>
  </si>
  <si>
    <t xml:space="preserve">      ملاحظات أمين الصندوق</t>
  </si>
  <si>
    <t>تفاصيل</t>
  </si>
  <si>
    <t>العدد</t>
  </si>
  <si>
    <t>وصل قبض</t>
  </si>
  <si>
    <t>قبض مصرفي</t>
  </si>
  <si>
    <t>وصل صرف</t>
  </si>
  <si>
    <t>صرف مصرفي</t>
  </si>
  <si>
    <t>قيد مزدوج</t>
  </si>
  <si>
    <t>وصلات باطلة</t>
  </si>
  <si>
    <t>إجمالي الوصولات</t>
  </si>
  <si>
    <t>المدير المالي</t>
  </si>
  <si>
    <t>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</si>
</sst>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00A098"/>
      <sz val="9"/>
      <name val="Calibri"/>
    </font>
    <font>
      <color rgb="FF000000"/>
      <sz val="11"/>
      <name val="Calibri"/>
    </font>
    <font>
      <b/>
      <color rgb="FF00A098"/>
      <sz val="14"/>
      <name val="Calibri"/>
    </font>
    <font>
      <b/>
      <color rgb="FF000000"/>
      <sz val="11"/>
      <name val="Calibri"/>
    </font>
    <font>
      <b/>
      <color rgb="FF00A098"/>
      <sz val="8"/>
      <name val="Calibri"/>
    </font>
    <font>
      <b/>
      <color rgb="FF2E7D5B"/>
      <sz val="9"/>
      <name val="Calibri"/>
    </font>
    <font>
      <b/>
      <color rgb="FFC44B4B"/>
      <sz val="9"/>
      <name val="Calibri"/>
    </font>
    <font>
      <b/>
      <color rgb="FF2E7D5B"/>
      <sz val="11"/>
      <name val="Calibri"/>
    </font>
    <font>
      <b/>
      <color rgb="FFC44B4B"/>
      <sz val="11"/>
      <name val="Calibri"/>
    </font>
    <font>
      <b/>
      <color rgb="FFFFFFFF"/>
      <sz val="10"/>
      <name val="Calibri"/>
    </font>
    <font>
      <b/>
      <color rgb="FF000000"/>
      <sz val="9"/>
      <name val="Calibri"/>
    </font>
    <font>
      <color rgb="FF222222"/>
      <sz val="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6F6F5"/>
      </patternFill>
    </fill>
    <fill>
      <patternFill patternType="solid">
        <fgColor rgb="FFFFFFFF"/>
      </patternFill>
    </fill>
    <fill>
      <patternFill patternType="solid">
        <fgColor rgb="FFE0F4F3"/>
      </patternFill>
    </fill>
    <fill>
      <patternFill patternType="solid">
        <fgColor rgb="FFB8E4E2"/>
      </patternFill>
    </fill>
    <fill>
      <patternFill patternType="solid">
        <fgColor rgb="FF00A098"/>
      </patternFill>
    </fill>
    <fill>
      <patternFill patternType="solid">
        <fgColor rgb="FFEBF7F7"/>
      </patternFill>
    </fill>
    <fill>
      <patternFill patternType="solid">
        <fgColor rgb="FFE8F6F6"/>
      </patternFill>
    </fill>
  </fills>
  <borders count="3">
    <border>
      <left/>
      <right/>
      <top/>
      <bottom/>
      <diagonal/>
    </border>
    <border>
      <left style="thin">
        <color rgb="FF6BC8C3"/>
      </left>
      <right style="thin">
        <color rgb="FF6BC8C3"/>
      </right>
      <top style="thin">
        <color rgb="FF6BC8C3"/>
      </top>
      <bottom style="thin">
        <color rgb="FF6BC8C3"/>
      </bottom>
      <diagonal/>
    </border>
    <border>
      <left style="thin">
        <color rgb="FF00A098"/>
      </left>
      <right style="thin">
        <color rgb="FF00A098"/>
      </right>
      <top style="thin">
        <color rgb="FF00A098"/>
      </top>
      <bottom style="thin">
        <color rgb="FF00A09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right" vertical="center" readingOrder="2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4" fillId="3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5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right" vertical="center" readingOrder="2"/>
    </xf>
    <xf numFmtId="0" fontId="2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65079</xdr:colOff>
      <xdr:row>1</xdr:row>
      <xdr:rowOff>121920</xdr:rowOff>
    </xdr:from>
    <xdr:to>
      <xdr:col>11</xdr:col>
      <xdr:colOff>12700</xdr:colOff>
      <xdr:row>7</xdr:row>
      <xdr:rowOff>121920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6"/>
  <sheetViews>
    <sheetView workbookViewId="0" rightToLeft="1" zoomScale="70" zoomScaleNormal="100"/>
  </sheetViews>
  <sheetFormatPr defaultRowHeight="15" outlineLevelRow="0" outlineLevelCol="0" x14ac:dyDescent="55"/>
  <cols>
    <col min="1" max="1" width="4" customWidth="1"/>
    <col min="2" max="2" width="18" customWidth="1"/>
    <col min="3" max="4" width="12" customWidth="1"/>
    <col min="5" max="6" width="10" customWidth="1"/>
    <col min="7" max="7" width="14" customWidth="1"/>
    <col min="8" max="8" width="11" customWidth="1"/>
    <col min="9" max="9" width="8.85156" customWidth="1"/>
    <col min="10" max="10" width="6" customWidth="1"/>
    <col min="11" max="11" width="10" customWidth="1"/>
    <col min="12" max="12" width="8.85156" customWidth="1"/>
  </cols>
  <sheetData>
    <row r="1" ht="8" customHeight="1" x14ac:dyDescent="0.25"/>
    <row r="2" ht="18" customHeight="1" spans="2:11" x14ac:dyDescent="0.25">
      <c r="B2" s="1" t="s">
        <v>0</v>
      </c>
      <c r="C2" s="2" t="s">
        <v>1</v>
      </c>
      <c r="D2" s="3" t="s">
        <v>2</v>
      </c>
      <c r="E2" s="3"/>
      <c r="F2" s="3"/>
      <c r="G2" s="3"/>
      <c r="H2" s="3"/>
      <c r="I2" s="3"/>
      <c r="J2" s="4"/>
      <c r="K2" s="4"/>
    </row>
    <row r="3" ht="18" customHeight="1" spans="2:11" x14ac:dyDescent="0.25">
      <c r="B3" s="1" t="s">
        <v>3</v>
      </c>
      <c r="C3" s="2" t="s">
        <v>4</v>
      </c>
      <c r="D3" s="3"/>
      <c r="E3" s="3"/>
      <c r="F3" s="3"/>
      <c r="G3" s="3"/>
      <c r="H3" s="3"/>
      <c r="I3" s="3"/>
      <c r="J3" s="4"/>
      <c r="K3" s="4"/>
    </row>
    <row r="4" ht="18" customHeight="1" spans="2:11" x14ac:dyDescent="0.25">
      <c r="B4" s="1" t="s">
        <v>5</v>
      </c>
      <c r="C4" s="5" t="s">
        <v>6</v>
      </c>
      <c r="D4" s="3"/>
      <c r="E4" s="3"/>
      <c r="F4" s="3"/>
      <c r="G4" s="3"/>
      <c r="H4" s="3"/>
      <c r="I4" s="3"/>
      <c r="J4" s="4"/>
      <c r="K4" s="4"/>
    </row>
    <row r="5" ht="18" customHeight="1" spans="4:11" x14ac:dyDescent="0.25">
      <c r="D5" s="3"/>
      <c r="E5" s="3"/>
      <c r="F5" s="3"/>
      <c r="G5" s="3"/>
      <c r="H5" s="3"/>
      <c r="I5" s="3"/>
      <c r="J5" s="4"/>
      <c r="K5" s="4"/>
    </row>
    <row r="6" ht="18" customHeight="1" spans="2:11" x14ac:dyDescent="0.25">
      <c r="B6" s="1" t="s">
        <v>7</v>
      </c>
      <c r="C6" s="2" t="s">
        <v>8</v>
      </c>
      <c r="D6" s="6"/>
      <c r="E6" s="6"/>
      <c r="F6" s="6"/>
      <c r="G6" s="6"/>
      <c r="H6" s="6"/>
      <c r="I6" s="6"/>
      <c r="J6" s="4"/>
      <c r="K6" s="4"/>
    </row>
    <row r="7" ht="18" customHeight="1" spans="2:11" x14ac:dyDescent="0.25">
      <c r="B7" s="1" t="s">
        <v>9</v>
      </c>
      <c r="C7" s="2">
        <v>0</v>
      </c>
      <c r="D7" s="6"/>
      <c r="E7" s="6"/>
      <c r="F7" s="6"/>
      <c r="G7" s="6"/>
      <c r="H7" s="6"/>
      <c r="I7" s="6"/>
      <c r="J7" s="4"/>
      <c r="K7" s="4"/>
    </row>
    <row r="8" ht="18" customHeight="1" spans="2:11" x14ac:dyDescent="0.25">
      <c r="B8" s="1" t="s">
        <v>10</v>
      </c>
      <c r="C8" s="2">
        <v>0</v>
      </c>
      <c r="D8" s="6"/>
      <c r="E8" s="6"/>
      <c r="F8" s="6"/>
      <c r="G8" s="6"/>
      <c r="H8" s="6"/>
      <c r="I8" s="6"/>
      <c r="J8" s="4"/>
      <c r="K8" s="4"/>
    </row>
    <row r="9" ht="8" customHeight="1" x14ac:dyDescent="0.25"/>
    <row r="10" ht="20.1" customHeight="1" spans="1:11" x14ac:dyDescent="0.25">
      <c r="A10" s="7" t="s">
        <v>11</v>
      </c>
      <c r="B10" s="8" t="s">
        <v>12</v>
      </c>
      <c r="C10" s="8" t="s">
        <v>13</v>
      </c>
      <c r="D10" s="8"/>
      <c r="E10" s="8" t="s">
        <v>14</v>
      </c>
      <c r="F10" s="8"/>
      <c r="G10" s="8" t="s">
        <v>15</v>
      </c>
      <c r="H10" s="8" t="s">
        <v>16</v>
      </c>
      <c r="I10" s="8" t="s">
        <v>17</v>
      </c>
      <c r="J10" s="8"/>
      <c r="K10" s="8"/>
    </row>
    <row r="11" ht="18" customHeight="1" spans="1:11" x14ac:dyDescent="0.25">
      <c r="A11" s="7"/>
      <c r="B11" s="8"/>
      <c r="C11" s="9" t="s">
        <v>18</v>
      </c>
      <c r="D11" s="10" t="s">
        <v>19</v>
      </c>
      <c r="E11" s="9" t="s">
        <v>18</v>
      </c>
      <c r="F11" s="10" t="s">
        <v>19</v>
      </c>
      <c r="G11" s="8"/>
      <c r="H11" s="8"/>
      <c r="I11" s="8" t="s">
        <v>20</v>
      </c>
      <c r="J11" s="8" t="s">
        <v>21</v>
      </c>
      <c r="K11" s="8" t="s">
        <v>22</v>
      </c>
    </row>
    <row r="12" ht="17.1" customHeight="1" spans="1:11" x14ac:dyDescent="0.25">
      <c r="A12" s="2">
        <v>1</v>
      </c>
      <c r="B12" s="2" t="s">
        <v>23</v>
      </c>
      <c r="C12" s="11">
        <v>1000</v>
      </c>
      <c r="D12" s="2"/>
      <c r="E12" s="2"/>
      <c r="F12" s="2"/>
      <c r="G12" s="2"/>
      <c r="H12" s="2"/>
      <c r="I12" s="2" t="s">
        <v>24</v>
      </c>
      <c r="J12" s="2"/>
      <c r="K12" s="2" t="s">
        <v>25</v>
      </c>
    </row>
    <row r="13" ht="17.1" customHeight="1" spans="1:11" x14ac:dyDescent="0.25">
      <c r="A13" s="2">
        <v>2</v>
      </c>
      <c r="B13" s="2" t="s">
        <v>26</v>
      </c>
      <c r="C13" s="2"/>
      <c r="D13" s="12">
        <v>2000</v>
      </c>
      <c r="E13" s="2"/>
      <c r="F13" s="2"/>
      <c r="G13" s="2"/>
      <c r="H13" s="2"/>
      <c r="I13" s="2" t="s">
        <v>27</v>
      </c>
      <c r="J13" s="2"/>
      <c r="K13" s="2" t="s">
        <v>28</v>
      </c>
    </row>
    <row r="14" ht="17.1" customHeight="1" spans="1:11" x14ac:dyDescent="0.25">
      <c r="A14" s="2">
        <v>3</v>
      </c>
      <c r="B14" s="2" t="s">
        <v>29</v>
      </c>
      <c r="C14" s="11">
        <v>3000</v>
      </c>
      <c r="D14" s="2"/>
      <c r="E14" s="2"/>
      <c r="F14" s="2"/>
      <c r="G14" s="2"/>
      <c r="H14" s="2"/>
      <c r="I14" s="2" t="s">
        <v>24</v>
      </c>
      <c r="J14" s="2"/>
      <c r="K14" s="2" t="s">
        <v>30</v>
      </c>
    </row>
    <row r="15" ht="17.1" customHeight="1" spans="1:11" x14ac:dyDescent="0.25">
      <c r="A15" s="2">
        <v>4</v>
      </c>
      <c r="B15" s="2" t="s">
        <v>31</v>
      </c>
      <c r="C15" s="2"/>
      <c r="D15" s="12">
        <v>4000</v>
      </c>
      <c r="E15" s="2"/>
      <c r="F15" s="2"/>
      <c r="G15" s="2"/>
      <c r="H15" s="2"/>
      <c r="I15" s="2" t="s">
        <v>27</v>
      </c>
      <c r="J15" s="2"/>
      <c r="K15" s="2" t="s">
        <v>32</v>
      </c>
    </row>
    <row r="16" ht="17.1" customHeight="1" spans="1:11" x14ac:dyDescent="0.25">
      <c r="A16" s="2">
        <v>5</v>
      </c>
      <c r="B16" s="2" t="s">
        <v>33</v>
      </c>
      <c r="C16" s="11">
        <v>5000</v>
      </c>
      <c r="D16" s="2"/>
      <c r="E16" s="2"/>
      <c r="F16" s="2"/>
      <c r="G16" s="2"/>
      <c r="H16" s="2"/>
      <c r="I16" s="2" t="s">
        <v>24</v>
      </c>
      <c r="J16" s="2"/>
      <c r="K16" s="2" t="s">
        <v>34</v>
      </c>
    </row>
    <row r="17" ht="17.1" customHeight="1" spans="1:11" x14ac:dyDescent="0.25">
      <c r="A17" s="2">
        <v>6</v>
      </c>
      <c r="B17" s="2" t="s">
        <v>35</v>
      </c>
      <c r="C17" s="2"/>
      <c r="D17" s="12">
        <v>6000</v>
      </c>
      <c r="E17" s="2"/>
      <c r="F17" s="2"/>
      <c r="G17" s="2"/>
      <c r="H17" s="2"/>
      <c r="I17" s="2" t="s">
        <v>27</v>
      </c>
      <c r="J17" s="2"/>
      <c r="K17" s="2" t="s">
        <v>36</v>
      </c>
    </row>
    <row r="18" ht="17.1" customHeight="1" spans="1:11" x14ac:dyDescent="0.25">
      <c r="A18" s="2">
        <v>7</v>
      </c>
      <c r="B18" s="2" t="s">
        <v>37</v>
      </c>
      <c r="C18" s="11">
        <v>7000</v>
      </c>
      <c r="D18" s="2"/>
      <c r="E18" s="2"/>
      <c r="F18" s="2"/>
      <c r="G18" s="2"/>
      <c r="H18" s="2"/>
      <c r="I18" s="2" t="s">
        <v>24</v>
      </c>
      <c r="J18" s="2"/>
      <c r="K18" s="2" t="s">
        <v>38</v>
      </c>
    </row>
    <row r="19" ht="17.1" customHeight="1" spans="1:11" x14ac:dyDescent="0.25">
      <c r="A19" s="2">
        <v>8</v>
      </c>
      <c r="B19" s="2" t="s">
        <v>39</v>
      </c>
      <c r="C19" s="2"/>
      <c r="D19" s="12">
        <v>8000</v>
      </c>
      <c r="E19" s="2"/>
      <c r="F19" s="2"/>
      <c r="G19" s="2"/>
      <c r="H19" s="2"/>
      <c r="I19" s="2" t="s">
        <v>27</v>
      </c>
      <c r="J19" s="2"/>
      <c r="K19" s="2" t="s">
        <v>40</v>
      </c>
    </row>
    <row r="20" ht="17.1" customHeight="1" spans="1:11" x14ac:dyDescent="0.25">
      <c r="A20" s="2">
        <v>9</v>
      </c>
      <c r="B20" s="2" t="s">
        <v>41</v>
      </c>
      <c r="C20" s="11">
        <v>9000</v>
      </c>
      <c r="D20" s="2"/>
      <c r="E20" s="2"/>
      <c r="F20" s="2"/>
      <c r="G20" s="2"/>
      <c r="H20" s="2"/>
      <c r="I20" s="2" t="s">
        <v>24</v>
      </c>
      <c r="J20" s="2"/>
      <c r="K20" s="2" t="s">
        <v>42</v>
      </c>
    </row>
    <row r="21" ht="17.1" customHeight="1" spans="1:11" x14ac:dyDescent="0.25">
      <c r="A21" s="2">
        <v>10</v>
      </c>
      <c r="B21" s="2" t="s">
        <v>43</v>
      </c>
      <c r="C21" s="2"/>
      <c r="D21" s="12">
        <v>10000</v>
      </c>
      <c r="E21" s="2"/>
      <c r="F21" s="2"/>
      <c r="G21" s="2"/>
      <c r="H21" s="2"/>
      <c r="I21" s="2" t="s">
        <v>27</v>
      </c>
      <c r="J21" s="2"/>
      <c r="K21" s="2" t="s">
        <v>44</v>
      </c>
    </row>
    <row r="22" ht="17.1" customHeight="1" spans="1:11" x14ac:dyDescent="0.25">
      <c r="A22" s="2">
        <v>11</v>
      </c>
      <c r="B22" s="2" t="s">
        <v>45</v>
      </c>
      <c r="C22" s="11">
        <v>11000</v>
      </c>
      <c r="D22" s="2"/>
      <c r="E22" s="2"/>
      <c r="F22" s="2"/>
      <c r="G22" s="2"/>
      <c r="H22" s="2"/>
      <c r="I22" s="2" t="s">
        <v>24</v>
      </c>
      <c r="J22" s="2"/>
      <c r="K22" s="2" t="s">
        <v>46</v>
      </c>
    </row>
    <row r="23" ht="17.1" customHeight="1" spans="1:11" x14ac:dyDescent="0.25">
      <c r="A23" s="2">
        <v>12</v>
      </c>
      <c r="B23" s="2" t="s">
        <v>47</v>
      </c>
      <c r="C23" s="2"/>
      <c r="D23" s="12">
        <v>12000</v>
      </c>
      <c r="E23" s="2"/>
      <c r="F23" s="2"/>
      <c r="G23" s="2"/>
      <c r="H23" s="2"/>
      <c r="I23" s="2" t="s">
        <v>27</v>
      </c>
      <c r="J23" s="2"/>
      <c r="K23" s="2" t="s">
        <v>48</v>
      </c>
    </row>
    <row r="24" ht="17.1" customHeight="1" spans="1:11" x14ac:dyDescent="0.25">
      <c r="A24" s="2">
        <v>13</v>
      </c>
      <c r="B24" s="2" t="s">
        <v>49</v>
      </c>
      <c r="C24" s="11">
        <v>13000</v>
      </c>
      <c r="D24" s="2"/>
      <c r="E24" s="2"/>
      <c r="F24" s="2"/>
      <c r="G24" s="2"/>
      <c r="H24" s="2"/>
      <c r="I24" s="2" t="s">
        <v>24</v>
      </c>
      <c r="J24" s="2"/>
      <c r="K24" s="2" t="s">
        <v>50</v>
      </c>
    </row>
    <row r="25" ht="17.1" customHeight="1" spans="1:11" x14ac:dyDescent="0.25">
      <c r="A25" s="2">
        <v>14</v>
      </c>
      <c r="B25" s="2" t="s">
        <v>51</v>
      </c>
      <c r="C25" s="2"/>
      <c r="D25" s="12">
        <v>14000</v>
      </c>
      <c r="E25" s="2"/>
      <c r="F25" s="2"/>
      <c r="G25" s="2"/>
      <c r="H25" s="2"/>
      <c r="I25" s="2" t="s">
        <v>27</v>
      </c>
      <c r="J25" s="2"/>
      <c r="K25" s="2" t="s">
        <v>52</v>
      </c>
    </row>
    <row r="26" ht="17.1" customHeight="1" spans="1:11" x14ac:dyDescent="0.25">
      <c r="A26" s="2">
        <v>15</v>
      </c>
      <c r="B26" s="2" t="s">
        <v>53</v>
      </c>
      <c r="C26" s="11">
        <v>15000</v>
      </c>
      <c r="D26" s="2"/>
      <c r="E26" s="2"/>
      <c r="F26" s="2"/>
      <c r="G26" s="2"/>
      <c r="H26" s="2"/>
      <c r="I26" s="2" t="s">
        <v>24</v>
      </c>
      <c r="J26" s="2"/>
      <c r="K26" s="2" t="s">
        <v>54</v>
      </c>
    </row>
    <row r="27" ht="17.1" customHeight="1" spans="1:11" x14ac:dyDescent="0.25">
      <c r="A27" s="2">
        <v>16</v>
      </c>
      <c r="B27" s="2" t="s">
        <v>55</v>
      </c>
      <c r="C27" s="2"/>
      <c r="D27" s="12">
        <v>16000</v>
      </c>
      <c r="E27" s="2"/>
      <c r="F27" s="2"/>
      <c r="G27" s="2"/>
      <c r="H27" s="2"/>
      <c r="I27" s="2" t="s">
        <v>27</v>
      </c>
      <c r="J27" s="2"/>
      <c r="K27" s="2" t="s">
        <v>56</v>
      </c>
    </row>
    <row r="28" ht="17.1" customHeight="1" spans="1:11" x14ac:dyDescent="0.25">
      <c r="A28" s="2">
        <v>17</v>
      </c>
      <c r="B28" s="2" t="s">
        <v>57</v>
      </c>
      <c r="C28" s="11">
        <v>17000</v>
      </c>
      <c r="D28" s="2"/>
      <c r="E28" s="2"/>
      <c r="F28" s="2"/>
      <c r="G28" s="2"/>
      <c r="H28" s="2"/>
      <c r="I28" s="2" t="s">
        <v>24</v>
      </c>
      <c r="J28" s="2"/>
      <c r="K28" s="2" t="s">
        <v>58</v>
      </c>
    </row>
    <row r="29" ht="20.1" customHeight="1" spans="1:11" x14ac:dyDescent="0.25">
      <c r="A29" s="13" t="s">
        <v>59</v>
      </c>
      <c r="B29" s="13"/>
      <c r="C29" s="14">
        <f>SUM(C12:C28)</f>
      </c>
      <c r="D29" s="15">
        <f>SUM(D12:D28)</f>
      </c>
      <c r="E29" s="14">
        <f>SUM(E12:E28)</f>
      </c>
      <c r="F29" s="15">
        <f>SUM(F12:F28)</f>
      </c>
    </row>
    <row r="30" ht="20.1" customHeight="1" spans="1:6" x14ac:dyDescent="0.25">
      <c r="A30" s="13" t="s">
        <v>60</v>
      </c>
      <c r="B30" s="13"/>
      <c r="C30" s="16">
        <f>C7+C29-D29</f>
      </c>
      <c r="D30" s="16"/>
      <c r="E30" s="16">
        <f>C8+E29-F29</f>
      </c>
      <c r="F30" s="16"/>
    </row>
    <row r="31" ht="15" customHeight="1" x14ac:dyDescent="0.25"/>
    <row r="32" ht="17.1" customHeight="1" spans="1:11" x14ac:dyDescent="0.25">
      <c r="A32" s="17" t="s">
        <v>61</v>
      </c>
      <c r="E32"/>
      <c r="F32"/>
      <c r="G32" s="18" t="s">
        <v>62</v>
      </c>
      <c r="H32" s="18"/>
      <c r="I32" s="19" t="s">
        <v>63</v>
      </c>
      <c r="J32" s="19"/>
      <c r="K32" s="19"/>
    </row>
    <row r="33" ht="26.1" customHeight="1" spans="1:11" x14ac:dyDescent="0.25">
      <c r="C33" s="17" t="s">
        <v>64</v>
      </c>
      <c r="D33" s="20">
        <f>C30</f>
      </c>
      <c r="E33" s="20"/>
      <c r="F33" s="20"/>
      <c r="G33" s="11">
        <f>C29</f>
      </c>
      <c r="H33" s="11"/>
      <c r="I33" s="12">
        <f>D29</f>
      </c>
      <c r="J33" s="12"/>
      <c r="K33" s="12"/>
    </row>
    <row r="34" ht="15.95" customHeight="1" spans="1:11" x14ac:dyDescent="0.25">
      <c r="C34" s="17" t="s">
        <v>65</v>
      </c>
      <c r="D34" s="20">
        <f>E30</f>
      </c>
      <c r="E34" s="20"/>
      <c r="F34" s="20"/>
      <c r="G34" s="11">
        <f>E29</f>
      </c>
      <c r="H34" s="11"/>
      <c r="I34" s="12">
        <f>F29</f>
      </c>
      <c r="J34" s="12"/>
      <c r="K34" s="12"/>
    </row>
    <row r="35" ht="15" customHeight="1" spans="1:11" x14ac:dyDescent="0.25">
      <c r="D35" s="21" t="s">
        <v>66</v>
      </c>
      <c r="E35" s="21"/>
      <c r="F35" s="21"/>
      <c r="G35" s="21"/>
      <c r="H35" s="21"/>
      <c r="I35" s="21"/>
      <c r="J35" s="21"/>
      <c r="K35" s="21"/>
    </row>
    <row r="36" ht="20.1" customHeight="1" x14ac:dyDescent="0.25"/>
    <row r="37" ht="17.1" customHeight="1" spans="1:11" x14ac:dyDescent="0.25">
      <c r="A37" s="13" t="s">
        <v>67</v>
      </c>
      <c r="B37" s="13"/>
      <c r="C37" s="13"/>
      <c r="D37" s="13"/>
      <c r="E37" s="13"/>
      <c r="F37" s="13"/>
      <c r="G37" s="13" t="s">
        <v>68</v>
      </c>
      <c r="H37" s="13"/>
      <c r="I37" s="13"/>
      <c r="J37" s="13"/>
      <c r="K37" s="13"/>
    </row>
    <row r="38" ht="15.95" customHeight="1" spans="1:11" x14ac:dyDescent="0.25">
      <c r="A38" s="8" t="s">
        <v>11</v>
      </c>
      <c r="B38" s="8" t="s">
        <v>69</v>
      </c>
      <c r="C38" s="8" t="s">
        <v>70</v>
      </c>
      <c r="H38"/>
      <c r="I38"/>
      <c r="J38"/>
      <c r="K38"/>
    </row>
    <row r="39" ht="15.95" customHeight="1" spans="1:11" x14ac:dyDescent="0.25">
      <c r="A39" s="22">
        <v>1</v>
      </c>
      <c r="B39" s="23" t="s">
        <v>71</v>
      </c>
      <c r="C39" s="24">
        <f>COUNTIF(I12:I28,"قبض")</f>
      </c>
      <c r="G39" s="4"/>
      <c r="H39" s="4"/>
      <c r="I39" s="4"/>
      <c r="J39" s="4"/>
      <c r="K39" s="4"/>
    </row>
    <row r="40" ht="15.95" customHeight="1" spans="1:11" x14ac:dyDescent="0.25">
      <c r="A40" s="22">
        <v>2</v>
      </c>
      <c r="B40" s="23" t="s">
        <v>72</v>
      </c>
      <c r="C40" s="24">
        <f>COUNTIF(I12:I28,"قبض مصرفي")</f>
      </c>
      <c r="G40" s="4"/>
      <c r="H40" s="4"/>
      <c r="I40" s="4"/>
      <c r="J40" s="4"/>
      <c r="K40" s="4"/>
    </row>
    <row r="41" ht="15.95" customHeight="1" spans="1:11" x14ac:dyDescent="0.25">
      <c r="A41" s="22">
        <v>3</v>
      </c>
      <c r="B41" s="23" t="s">
        <v>73</v>
      </c>
      <c r="C41" s="24">
        <f>COUNTIF(I12:I28,"صرف")</f>
      </c>
      <c r="G41" s="4"/>
      <c r="H41" s="4"/>
      <c r="I41" s="4"/>
      <c r="J41" s="4"/>
      <c r="K41" s="4"/>
    </row>
    <row r="42" ht="15.95" customHeight="1" spans="1:11" x14ac:dyDescent="0.25">
      <c r="A42" s="22">
        <v>4</v>
      </c>
      <c r="B42" s="23" t="s">
        <v>74</v>
      </c>
      <c r="C42" s="24">
        <f>COUNTIF(I12:I28,"صرف مصرفي")</f>
      </c>
      <c r="G42" s="4"/>
      <c r="H42" s="4"/>
      <c r="I42" s="4"/>
      <c r="J42" s="4"/>
      <c r="K42" s="4"/>
    </row>
    <row r="43" ht="15.95" customHeight="1" spans="1:11" x14ac:dyDescent="0.25">
      <c r="A43" s="22">
        <v>5</v>
      </c>
      <c r="B43" s="23" t="s">
        <v>75</v>
      </c>
      <c r="C43" s="24">
        <f>COUNTIF(I12:I28,"قيد مزدوج")</f>
      </c>
      <c r="G43" s="4"/>
      <c r="H43" s="4"/>
      <c r="I43" s="4"/>
      <c r="J43" s="4"/>
      <c r="K43" s="4"/>
    </row>
    <row r="44" ht="17.1" customHeight="1" spans="1:11" x14ac:dyDescent="0.25">
      <c r="A44" s="22">
        <v>6</v>
      </c>
      <c r="B44" s="23" t="s">
        <v>76</v>
      </c>
      <c r="C44" s="24">
        <v>0</v>
      </c>
      <c r="G44" s="4"/>
      <c r="H44" s="4"/>
      <c r="I44" s="4"/>
      <c r="J44" s="4"/>
      <c r="K44" s="4"/>
    </row>
    <row r="45" ht="15" customHeight="1" spans="1:3" x14ac:dyDescent="0.25">
      <c r="A45" s="7" t="s">
        <v>77</v>
      </c>
      <c r="C45" s="25">
        <f>SUM(C39:C44)</f>
      </c>
    </row>
    <row r="46" ht="15.95" customHeight="1" x14ac:dyDescent="0.25"/>
    <row r="47" ht="30" customHeight="1" spans="1:11" x14ac:dyDescent="0.25">
      <c r="A47" s="26" t="s">
        <v>5</v>
      </c>
      <c r="B47" s="26"/>
      <c r="C47" s="26"/>
      <c r="D47" s="26"/>
      <c r="H47" s="26" t="s">
        <v>78</v>
      </c>
      <c r="I47" s="26"/>
      <c r="J47" s="26"/>
      <c r="K47" s="26"/>
    </row>
    <row r="48" ht="15" customHeight="1" spans="1:11" x14ac:dyDescent="0.25">
      <c r="A48" s="27" t="s">
        <v>6</v>
      </c>
      <c r="B48" s="27"/>
      <c r="C48" s="27"/>
      <c r="D48" s="27"/>
      <c r="H48" s="28" t="s">
        <v>79</v>
      </c>
      <c r="I48" s="28"/>
      <c r="J48" s="28"/>
      <c r="K48" s="28"/>
    </row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9:B29"/>
    <mergeCell ref="A30:B30"/>
    <mergeCell ref="C30:D30"/>
    <mergeCell ref="E30:F30"/>
    <mergeCell ref="D32:F32"/>
    <mergeCell ref="G32:H32"/>
    <mergeCell ref="I32:K32"/>
    <mergeCell ref="D33:F33"/>
    <mergeCell ref="G33:H33"/>
    <mergeCell ref="I33:K33"/>
    <mergeCell ref="D34:F34"/>
    <mergeCell ref="G34:H34"/>
    <mergeCell ref="I34:K34"/>
    <mergeCell ref="D35:K35"/>
    <mergeCell ref="A37:F37"/>
    <mergeCell ref="G37:K37"/>
    <mergeCell ref="G38:K38"/>
    <mergeCell ref="G39:K39"/>
    <mergeCell ref="G40:K40"/>
    <mergeCell ref="G41:K41"/>
    <mergeCell ref="G42:K42"/>
    <mergeCell ref="G43:K43"/>
    <mergeCell ref="G44:K44"/>
    <mergeCell ref="A47:D47"/>
    <mergeCell ref="H47:K47"/>
    <mergeCell ref="A48:D48"/>
    <mergeCell ref="H48:K48"/>
  </mergeCells>
  <pageMargins left="0.75" right="0.75" top="1" bottom="1" header="0.5" footer="0.5"/>
  <pageSetup paperSize="9" orientation="landscape" horizontalDpi="600" verticalDpi="600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طيبة النجف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GDR Funds</dc:creator>
  <dc:title/>
  <dc:subject/>
  <dc:description/>
  <cp:keywords/>
  <cp:category/>
  <cp:lastModifiedBy>Unknown</cp:lastModifiedBy>
  <dcterms:created xsi:type="dcterms:W3CDTF">2026-09-27T08:29:37Z</dcterms:created>
  <dcterms:modified xsi:type="dcterms:W3CDTF">2026-09-27T08:29:37Z</dcterms:modified>
</cp:coreProperties>
</file>