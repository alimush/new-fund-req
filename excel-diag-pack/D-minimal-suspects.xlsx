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</sheets>
  <calcPr calcId="171027"/>
</workbook>
</file>

<file path=xl/sharedStrings.xml><?xml version="1.0" encoding="utf-8"?>
<sst xmlns="http://schemas.openxmlformats.org/spreadsheetml/2006/main" count="66" uniqueCount="54">
  <si>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</si>
  <si>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</si>
  <si>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</si>
  <si>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</si>
  <si>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</si>
  <si>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</si>
  <si>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</si>
  <si>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</si>
  <si>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</si>
  <si>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</si>
  <si>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</si>
  <si>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</si>
  <si>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</si>
  <si>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</si>
  <si>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</si>
  <si>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</si>
  <si>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</si>
  <si>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</si>
  <si>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</si>
  <si>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</si>
  <si>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</si>
  <si>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</si>
  <si>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</si>
  <si>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TEST-A</t>
  </si>
  <si>
    <t>مصرف الرافدين</t>
  </si>
  <si>
    <t>قبض</t>
  </si>
  <si>
    <t>IQ-10001</t>
  </si>
  <si>
    <t>صرف مستلزمات تشغيل TEST-B</t>
  </si>
  <si>
    <t>صرف</t>
  </si>
  <si>
    <t>IQ-10002</t>
  </si>
  <si>
    <t>قبض دولار خدمة TEST-C</t>
  </si>
  <si>
    <t>US-10003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</si>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</sst>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 standalone="yes"?>
<styleSheet xmlns="http://schemas.openxmlformats.org/spreadsheetml/2006/main" xmlns:mc="http://schemas.openxmlformats.org/markup-compatibility/2006"><numFmts count="2"><numFmt numFmtId="164" formatCode="&quot;د.ع &quot;#,##0;&quot;--د.ع &quot;#,##0;&quot;د.ع --&quot;"/><numFmt numFmtId="165" formatCode="[$$-409]&quot; &quot;#,##0.00;&quot;--&quot;[$$-409]&quot; &quot;#,##0.00;[$$-409]&quot; --&quot;"/></numFmts><fonts count="19" x14ac:knownFonts="1"><font><color theme="1"/><family val="2"/><scheme val="minor"/><sz val="11"/><name val="Calibri"/></font><font><color rgb="FF000000"/><sz val="11"/><name val="Calibri"/></font><font><b/><color rgb="FF00487C"/><sz val="9"/><name val="Calibri"/></font><font><b/><color rgb="FF000000"/><sz val="9"/><name val="Calibri"/></font><font><b/><color rgb="FF00487C"/><sz val="15"/><name val="Calibri"/></font><font><b/><color rgb="FF59A2D6"/><sz val="9"/><name val="Calibri"/></font><font><color rgb="FF00487C"/><sz val="9"/><name val="Calibri"/></font><font><b/><color rgb="FF00487C"/><sz val="10"/><name val="Calibri"/></font><font><b/><color rgb="FF00487C"/><sz val="8"/><name val="Calibri"/></font><font><color rgb="FF222222"/><sz val="9"/><name val="Calibri"/></font><font><b/><color rgb="FF2E7D5B"/><sz val="9"/><name val="Calibri"/></font><font><b/><color rgb="FFC44B4B"/><sz val="9"/><name val="Calibri"/></font><font><b/><color rgb="FF00487C"/><sz val="14"/><name val="Calibri"/></font><font><b/><color rgb="FF2E7D5B"/><sz val="14"/><name val="Calibri"/></font><font><b/><color rgb="FFC44B4B"/><sz val="14"/><name val="Calibri"/></font><font><b/><color rgb="FFFFFFFF"/><sz val="10"/><name val="Calibri"/></font><font><color rgb="FFC5CDD8"/><sz val="8"/><name val="Calibri"/></font><font><b/><color rgb="FF000000"/><sz val="10"/><name val="Calibri"/></font><font><color rgb="FFC5CDD8"/><sz val="10"/><name val="Calibri"/></font></fonts><fills count="10"><fill><patternFill patternType="none"/></fill><fill><patternFill patternType="gray125"/></fill><fill><patternFill/></fill><fill><patternFill patternType="solid"><fgColor rgb="FFEDF4FA"/></patternFill></fill><fill><patternFill patternType="solid"><fgColor rgb="FFFFFFFF"/></patternFill></fill><fill><patternFill patternType="solid"><fgColor rgb="FFC6DFF1"/></patternFill></fill><fill><patternFill patternType="solid"><fgColor rgb="FFE5F0F8"/></patternFill></fill><fill><patternFill patternType="solid"><fgColor rgb="FFB7D6ED"/></patternFill></fill><fill><patternFill patternType="solid"><fgColor rgb="FFE0EDF7"/></patternFill></fill><fill><patternFill patternType="solid"><fgColor rgb="FF00487C"/></patternFill></fill></fills><borders count="58"><border><left/><right/><top/><bottom/><diagonal/></border><border><left style="thin"><color rgb="FFAAAAAA"/></left><right/><top style="thin"><color rgb="FFAAAAAA"/></top><bottom style="thin"><color rgb="FF72B0DC"/></bottom><diagonal/></border><border><left/><right/><top style="thin"><color rgb="FFAAAAAA"/></top><bottom style="thin"><color rgb="FF72B0DC"/></bottom><diagonal/></border><border><left/><right/><top style="thin"><color rgb="FFAAAAAA"/></top><bottom style="medium"><color rgb="FF59A2D6"/></bottom><diagonal/></border><border><left/><right/><top style="thin"><color rgb="FFAAAAAA"/></top><bottom style="dashed"><color rgb="FF59A2D6"/></bottom><diagonal/></border><border><left/><right style="thin"><color rgb="FFAAAAAA"/></right><top style="thin"><color rgb="FFAAAAAA"/></top><bottom style="dashed"><color rgb="FF59A2D6"/></bottom><diagonal/></border><border><left style="thin"><color rgb="FFAAAAAA"/></left><right style="thin"><color rgb="FFAAAAAA"/></right><top style="thin"><color rgb="FFAAAAAA"/></top><bottom/><diagonal/></border><border><left style="thin"><color rgb="FF72B0DC"/></left><right style="thin"><color rgb="FF72B0DC"/></right><top style="thin"><color rgb="FF72B0DC"/></top><bottom style="thin"><color rgb="FF72B0DC"/></bottom><diagonal/></border><border><left style="thin"><color rgb="FF72B0DC"/></left><right style="medium"><color rgb="FF59A2D6"/></right><top style="thin"><color rgb="FF72B0DC"/></top><bottom style="thin"><color rgb="FF72B0DC"/></bottom><diagonal/></border><border><left style="medium"><color rgb="FF59A2D6"/></left><right style="medium"><color rgb="FF59A2D6"/></right><top style="medium"><color rgb="FF59A2D6"/></top><bottom style="medium"><color rgb="FF59A2D6"/></bottom><diagonal/></border><border><left/><right/><top style="medium"><color rgb="FF59A2D6"/></top><bottom/><diagonal/></border><border><left/><right style="medium"><color rgb="FF59A2D6"/></right><top style="medium"><color rgb="FF59A2D6"/></top><bottom/><diagonal/></border><border><left style="dashed"><color rgb="FF59A2D6"/></left><right style="dashed"><color rgb="FF59A2D6"/></right><top style="dashed"><color rgb="FF59A2D6"/></top><bottom style="dashed"><color rgb="FF59A2D6"/></bottom><diagonal/></border><border><left/><right style="dashed"><color rgb="FF59A2D6"/></right><top style="dashed"><color rgb="FF59A2D6"/></top><bottom/><diagonal/></border><border><left style="dashed"><color rgb="FF59A2D6"/></left><right style="thin"><color rgb="FFAAAAAA"/></right><top/><bottom/><diagonal/></border><border><left style="medium"><color rgb="FF59A2D6"/></left><right/><top/><bottom/><diagonal/></border><border><left/><right style="medium"><color rgb="FF59A2D6"/></right><top/><bottom/><diagonal/></border><border><left style="dashed"><color rgb="FF59A2D6"/></left><right/><top/><bottom/><diagonal/></border><border><left/><right style="dashed"><color rgb="FF59A2D6"/></right><top/><bottom/><diagonal/></border><border><left style="medium"><color rgb="FF59A2D6"/></left><right/><top/><bottom style="medium"><color rgb="FF59A2D6"/></bottom><diagonal/></border><border><left/><right/><top/><bottom style="medium"><color rgb="FF59A2D6"/></bottom><diagonal/></border><border><left/><right style="medium"><color rgb="FF59A2D6"/></right><top/><bottom style="medium"><color rgb="FF59A2D6"/></bottom><diagonal/></border><border><left/><right/><top style="thin"><color rgb="FF72B0DC"/></top><bottom/><diagonal/></border><border><left/><right style="thin"><color rgb="FF72B0DC"/></right><top style="thin"><color rgb="FF72B0DC"/></top><bottom/><diagonal/></border><border><left style="thin"><color rgb="FF72B0DC"/></left><right/><top/><bottom/><diagonal/></border><border><left/><right style="thin"><color rgb="FF72B0DC"/></right><top/><bottom/><diagonal/></border><border><left style="thin"><color rgb="FF72B0DC"/></left><right/><top/><bottom style="thin"><color rgb="FF72B0DC"/></bottom><diagonal/></border><border><left/><right/><top/><bottom style="thin"><color rgb="FF72B0DC"/></bottom><diagonal/></border><border><left/><right style="thin"><color rgb="FF72B0DC"/></right><top/><bottom style="thin"><color rgb="FF72B0DC"/></bottom><diagonal/></border><border><left style="dashed"><color rgb="FF59A2D6"/></left><right/><top/><bottom style="dashed"><color rgb="FF59A2D6"/></bottom><diagonal/></border><border><left/><right style="dashed"><color rgb="FF59A2D6"/></right><top/><bottom style="dashed"><color rgb="FF59A2D6"/></bottom><diagonal/></border><border><left style="thin"><color rgb="FFAAAAAA"/></left><right/><top style="thin"><color rgb="FF72B0DC"/></top><bottom style="thin"><color rgb="FF72B0DC"/></bottom><diagonal/></border><border><left/><right/><top style="thin"><color rgb="FF72B0DC"/></top><bottom style="thin"><color rgb="FF72B0DC"/></bottom><diagonal/></border><border><left/><right/><top style="dashed"><color rgb="FF59A2D6"/></top><bottom style="thin"><color rgb="FF72B0DC"/></bottom><diagonal/></border><border><left/><right style="thin"><color rgb="FFAAAAAA"/></right><top style="dashed"><color rgb="FF59A2D6"/></top><bottom style="thin"><color rgb="FF72B0DC"/></bottom><diagonal/></border><border><left style="thin"><color rgb="FFAAAAAA"/></left><right style="thin"><color rgb="FFAAAAAA"/></right><top/><bottom/><diagonal/></border><border><left/><right style="thin"><color rgb="FF72B0DC"/></right><top style="thin"><color rgb="FF72B0DC"/></top><bottom style="thin"><color rgb="FF72B0DC"/></bottom><diagonal/></border><border><left style="thin"><color rgb="FF72B0DC"/></left><right style="thin"><color rgb="FFAAAAAA"/></right><top/><bottom/><diagonal/></border><border><left style="thin"><color rgb="FF72B0DC"/></left><right style="thin"><color rgb="FF72B0DC"/></right><top/><bottom style="thin"><color rgb="FF72B0DC"/></bottom><diagonal/></border><border><left style="thin"><color rgb="FFAAAAAA"/></left><right/><top style="thin"><color rgb="FF72B0DC"/></top><bottom/><diagonal/></border><border><left/><right/><top style="thin"><color rgb="FF72B0DC"/></top><bottom style="medium"><color rgb="FF59A2D6"/></bottom><diagonal/></border><border><left/><right style="thin"><color rgb="FFAAAAAA"/></right><top style="thin"><color rgb="FF72B0DC"/></top><bottom style="medium"><color rgb="FF59A2D6"/></bottom><diagonal/></border><border><left style="thin"><color rgb="FFAAAAAA"/></left><right/><top/><bottom/><diagonal/></border><border><left/><right/><top style="medium"><color rgb="FF59A2D6"/></top><bottom style="medium"><color rgb="FF59A2D6"/></bottom><diagonal/></border><border><left/><right style="medium"><color rgb="FF59A2D6"/></right><top style="medium"><color rgb="FF59A2D6"/></top><bottom style="medium"><color rgb="FF59A2D6"/></bottom><diagonal/></border><border><left style="medium"><color rgb="FF59A2D6"/></left><right style="thin"><color rgb="FFAAAAAA"/></right><top/><bottom/><diagonal/></border><border><left style="medium"><color rgb="FF59A2D6"/></left><right style="medium"><color rgb="FF59A2D6"/></right><top style="medium"><color rgb="FF59A2D6"/></top><bottom style="thin"><color rgb="FF72B0DC"/></bottom><diagonal/></border><border><left/><right/><top style="medium"><color rgb="FF59A2D6"/></top><bottom style="thin"><color rgb="FF72B0DC"/></bottom><diagonal/></border><border><left/><right style="medium"><color rgb="FF59A2D6"/></right><top style="medium"><color rgb="FF59A2D6"/></top><bottom style="thin"><color rgb="FF72B0DC"/></bottom><diagonal/></border><border><left/><right style="thin"><color rgb="FF72B0DC"/></right><top style="medium"><color rgb="FF59A2D6"/></top><bottom/><diagonal/></border><border><left style="thin"><color rgb="FFAAAAAA"/></left><right/><top/><bottom style="thin"><color rgb="FF72B0DC"/></bottom><diagonal/></border><border><left/><right style="thin"><color rgb="FFAAAAAA"/></right><top/><bottom/><diagonal/></border><border><left style="thin"><color rgb="FF72B0DC"/></left><right/><top style="thin"><color rgb="FF72B0DC"/></top><bottom/><diagonal/></border><border><left/><right style="thin"><color rgb="FFAAAAAA"/></right><top style="thin"><color rgb="FF72B0DC"/></top><bottom/><diagonal/></border><border><left style="thin"><color rgb="FFAAAAAA"/></left><right/><top/><bottom style="thin"><color rgb="FFAAAAAA"/></bottom><diagonal/></border><border><left/><right/><top/><bottom style="thin"><color rgb="FFAAAAAA"/></bottom><diagonal/></border><border><left/><right style="thin"><color rgb="FFAAAAAA"/></right><top/><bottom style="thin"><color rgb="FFAAAAAA"/></bottom><diagonal/></border><border><left style="thin"><color rgb="FFAAAAAA"/></left><right style="thin"><color rgb="FFAAAAAA"/></right><top/><bottom style="thin"><color rgb="FFAAAAAA"/></bottom><diagonal/></border></borders><cellStyleXfs count="1"><xf numFmtId="0" fontId="0" fillId="0" borderId="0"/></cellStyleXfs><cellXfs count="103"><xf numFmtId="0" fontId="0" fillId="0" borderId="0" xfId="0"/><xf numFmtId="0" fontId="1" fillId="2" borderId="0" xfId="0" applyFont="1" applyFill="1" applyAlignment="1"><alignment vertical="bottom"/></xf><xf numFmtId="0" fontId="1" fillId="2" borderId="0" xfId="0" applyFont="1" applyFill="1"/><xf numFmtId="0" fontId="1" fillId="3" borderId="1" xfId="0" applyFont="1" applyFill="1" applyBorder="1" applyAlignment="1"><alignment horizontal="right" vertical="bottom"/></xf><xf numFmtId="0" fontId="1" fillId="3" borderId="2" xfId="0" applyFont="1" applyFill="1" applyBorder="1" applyAlignment="1"><alignment horizontal="right" vertical="bottom"/></xf><xf numFmtId="0" fontId="1" fillId="3" borderId="3" xfId="0" applyFont="1" applyFill="1" applyBorder="1" applyAlignment="1"><alignment horizontal="right" vertical="bottom"/></xf><xf numFmtId="0" fontId="1" fillId="3" borderId="4" xfId="0" applyFont="1" applyFill="1" applyBorder="1" applyAlignment="1"><alignment horizontal="right" vertical="bottom"/></xf><xf numFmtId="0" fontId="1" fillId="3" borderId="5" xfId="0" applyFont="1" applyFill="1" applyBorder="1" applyAlignment="1"><alignment horizontal="right" vertical="bottom"/></xf><xf numFmtId="0" fontId="1" fillId="4" borderId="6" xfId="0" applyFont="1" applyFill="1" applyBorder="1" applyAlignment="1"><alignment horizontal="right" vertical="bottom"/></xf><xf numFmtId="0" fontId="1" fillId="4" borderId="7" xfId="0" applyFont="1" applyFill="1" applyBorder="1" applyAlignment="1"><alignment horizontal="right" vertical="bottom"/></xf><xf numFmtId="49" fontId="2" fillId="4" borderId="7" xfId="0" applyNumberFormat="1" applyFont="1" applyFill="1" applyBorder="1" applyAlignment="1"><alignment horizontal="right" vertical="center" wrapText="1" readingOrder="2"/></xf><xf numFmtId="49" fontId="3" fillId="4" borderId="8" xfId="0" applyNumberFormat="1" applyFont="1" applyFill="1" applyBorder="1" applyAlignment="1"><alignment horizontal="center" vertical="center" wrapText="1" readingOrder="2"/></xf><xf numFmtId="49" fontId="4" fillId="5" borderId="9" xfId="0" applyNumberFormat="1" applyFont="1" applyFill="1" applyBorder="1" applyAlignment="1"><alignment horizontal="center" vertical="center" wrapText="1" readingOrder="2"/></xf><xf numFmtId="0" fontId="1" fillId="2" borderId="10" xfId="0" applyFont="1" applyFill="1" applyBorder="1"/><xf numFmtId="0" fontId="1" fillId="2" borderId="11" xfId="0" applyFont="1" applyFill="1" applyBorder="1"/><xf numFmtId="0" fontId="5" fillId="6" borderId="12" xfId="0" applyFont="1" applyFill="1" applyBorder="1" applyAlignment="1"><alignment horizontal="center" vertical="bottom" wrapText="1"/></xf><xf numFmtId="0" fontId="1" fillId="2" borderId="13" xfId="0" applyFont="1" applyFill="1" applyBorder="1"/><xf numFmtId="0" fontId="1" fillId="4" borderId="14" xfId="0" applyFont="1" applyFill="1" applyBorder="1" applyAlignment="1"><alignment horizontal="right" vertical="bottom"/></xf><xf numFmtId="0" fontId="1" fillId="2" borderId="15" xfId="0" applyFont="1" applyFill="1" applyBorder="1"/><xf numFmtId="0" fontId="1" fillId="2" borderId="16" xfId="0" applyFont="1" applyFill="1" applyBorder="1"/><xf numFmtId="0" fontId="1" fillId="2" borderId="17" xfId="0" applyFont="1" applyFill="1" applyBorder="1"/><xf numFmtId="0" fontId="1" fillId="2" borderId="18" xfId="0" applyFont="1" applyFill="1" applyBorder="1"/><xf numFmtId="0" fontId="6" fillId="4" borderId="8" xfId="0" applyFont="1" applyFill="1" applyBorder="1" applyAlignment="1"><alignment horizontal="center" vertical="center" wrapText="1" readingOrder="2"/></xf><xf numFmtId="0" fontId="1" fillId="2" borderId="19" xfId="0" applyFont="1" applyFill="1" applyBorder="1"/><xf numFmtId="0" fontId="1" fillId="2" borderId="20" xfId="0" applyFont="1" applyFill="1" applyBorder="1"/><xf numFmtId="0" fontId="1" fillId="2" borderId="21" xfId="0" applyFont="1" applyFill="1" applyBorder="1"/><xf numFmtId="49" fontId="2" fillId="4" borderId="7" xfId="0" applyNumberFormat="1" applyFont="1" applyFill="1" applyBorder="1" applyAlignment="1"><alignment horizontal="center" vertical="center" wrapText="1" readingOrder="2"/></xf><xf numFmtId="0" fontId="1" fillId="2" borderId="22" xfId="0" applyFont="1" applyFill="1" applyBorder="1"/><xf numFmtId="0" fontId="1" fillId="2" borderId="23" xfId="0" applyFont="1" applyFill="1" applyBorder="1"/><xf numFmtId="164" fontId="2" fillId="4" borderId="7" xfId="0" applyNumberFormat="1" applyFont="1" applyFill="1" applyBorder="1" applyAlignment="1"><alignment horizontal="center" vertical="center" wrapText="1" readingOrder="2"/></xf><xf numFmtId="0" fontId="1" fillId="2" borderId="24" xfId="0" applyFont="1" applyFill="1" applyBorder="1"/><xf numFmtId="0" fontId="1" fillId="2" borderId="25" xfId="0" applyFont="1" applyFill="1" applyBorder="1"/><xf numFmtId="165" fontId="2" fillId="4" borderId="7" xfId="0" applyNumberFormat="1" applyFont="1" applyFill="1" applyBorder="1" applyAlignment="1"><alignment horizontal="center" vertical="center" wrapText="1" readingOrder="2"/></xf><xf numFmtId="0" fontId="1" fillId="2" borderId="26" xfId="0" applyFont="1" applyFill="1" applyBorder="1"/><xf numFmtId="0" fontId="1" fillId="2" borderId="27" xfId="0" applyFont="1" applyFill="1" applyBorder="1"/><xf numFmtId="0" fontId="1" fillId="2" borderId="28" xfId="0" applyFont="1" applyFill="1" applyBorder="1"/><xf numFmtId="0" fontId="1" fillId="2" borderId="29" xfId="0" applyFont="1" applyFill="1" applyBorder="1"/><xf numFmtId="0" fontId="1" fillId="2" borderId="30" xfId="0" applyFont="1" applyFill="1" applyBorder="1"/><xf numFmtId="0" fontId="1" fillId="3" borderId="31" xfId="0" applyFont="1" applyFill="1" applyBorder="1" applyAlignment="1"><alignment horizontal="right" vertical="bottom"/></xf><xf numFmtId="0" fontId="1" fillId="3" borderId="32" xfId="0" applyFont="1" applyFill="1" applyBorder="1" applyAlignment="1"><alignment horizontal="right" vertical="bottom"/></xf><xf numFmtId="0" fontId="1" fillId="3" borderId="33" xfId="0" applyFont="1" applyFill="1" applyBorder="1" applyAlignment="1"><alignment horizontal="right" vertical="bottom"/></xf><xf numFmtId="0" fontId="1" fillId="3" borderId="34" xfId="0" applyFont="1" applyFill="1" applyBorder="1" applyAlignment="1"><alignment horizontal="right" vertical="bottom"/></xf><xf numFmtId="0" fontId="1" fillId="4" borderId="35" xfId="0" applyFont="1" applyFill="1" applyBorder="1" applyAlignment="1"><alignment horizontal="right" vertical="bottom"/></xf><xf numFmtId="49" fontId="7" fillId="5" borderId="7" xfId="0" applyNumberFormat="1" applyFont="1" applyFill="1" applyBorder="1" applyAlignment="1"><alignment horizontal="center" vertical="center" wrapText="1" readingOrder="2"/></xf><xf numFmtId="49" fontId="2" fillId="5" borderId="7" xfId="0" applyNumberFormat="1" applyFont="1" applyFill="1" applyBorder="1" applyAlignment="1"><alignment horizontal="center" vertical="center" wrapText="1" readingOrder="2"/></xf><xf numFmtId="0" fontId="1" fillId="2" borderId="36" xfId="0" applyFont="1" applyFill="1" applyBorder="1"/><xf numFmtId="49" fontId="8" fillId="5" borderId="7" xfId="0" applyNumberFormat="1" applyFont="1" applyFill="1" applyBorder="1" applyAlignment="1"><alignment horizontal="center" vertical="center" wrapText="1" readingOrder="2"/></xf><xf numFmtId="0" fontId="1" fillId="2" borderId="32" xfId="0" applyFont="1" applyFill="1" applyBorder="1"/><xf numFmtId="0" fontId="1" fillId="4" borderId="37" xfId="0" applyFont="1" applyFill="1" applyBorder="1" applyAlignment="1"><alignment horizontal="right" vertical="bottom"/></xf><xf numFmtId="0" fontId="1" fillId="2" borderId="38" xfId="0" applyFont="1" applyFill="1" applyBorder="1"/><xf numFmtId="49" fontId="8" fillId="7" borderId="7" xfId="0" applyNumberFormat="1" applyFont="1" applyFill="1" applyBorder="1" applyAlignment="1"><alignment horizontal="center" vertical="center" wrapText="1" readingOrder="2"/></xf><xf numFmtId="0" fontId="9" fillId="4" borderId="7" xfId="0" applyFont="1" applyFill="1" applyBorder="1" applyAlignment="1"><alignment horizontal="center" vertical="center" wrapText="1" readingOrder="2"/></xf><xf numFmtId="3" fontId="10" fillId="4" borderId="7" xfId="0" applyNumberFormat="1" applyFont="1" applyFill="1" applyBorder="1" applyAlignment="1"><alignment horizontal="center" vertical="center" wrapText="1" readingOrder="2"/></xf><xf numFmtId="3" fontId="9" fillId="4" borderId="7" xfId="0" applyNumberFormat="1" applyFont="1" applyFill="1" applyBorder="1" applyAlignment="1"><alignment horizontal="center" vertical="center" wrapText="1" readingOrder="2"/></xf><xf numFmtId="3" fontId="11" fillId="4" borderId="7" xfId="0" applyNumberFormat="1" applyFont="1" applyFill="1" applyBorder="1" applyAlignment="1"><alignment horizontal="center" vertical="center" wrapText="1" readingOrder="2"/></xf><xf numFmtId="3" fontId="10" fillId="5" borderId="7" xfId="0" applyNumberFormat="1" applyFont="1" applyFill="1" applyBorder="1" applyAlignment="1"><alignment horizontal="center" vertical="center" wrapText="1" readingOrder="2"/></xf><xf numFmtId="3" fontId="11" fillId="5" borderId="7" xfId="0" applyNumberFormat="1" applyFont="1" applyFill="1" applyBorder="1" applyAlignment="1"><alignment horizontal="center" vertical="center" wrapText="1" readingOrder="2"/></xf><xf numFmtId="0" fontId="1" fillId="5" borderId="7" xfId="0" applyFont="1" applyFill="1" applyBorder="1" applyAlignment="1"><alignment horizontal="right" vertical="bottom"/></xf><xf numFmtId="49" fontId="7" fillId="8" borderId="7" xfId="0" applyNumberFormat="1" applyFont="1" applyFill="1" applyBorder="1" applyAlignment="1"><alignment horizontal="center" vertical="center" wrapText="1" readingOrder="2"/></xf><xf numFmtId="3" fontId="7" fillId="8" borderId="7" xfId="0" applyNumberFormat="1" applyFont="1" applyFill="1" applyBorder="1" applyAlignment="1"><alignment horizontal="center" vertical="center" wrapText="1" readingOrder="2"/></xf><xf numFmtId="0" fontId="1" fillId="8" borderId="7" xfId="0" applyFont="1" applyFill="1" applyBorder="1" applyAlignment="1"><alignment horizontal="right" vertical="bottom"/></xf><xf numFmtId="0" fontId="1" fillId="3" borderId="39" xfId="0" applyFont="1" applyFill="1" applyBorder="1" applyAlignment="1"><alignment horizontal="right" vertical="bottom"/></xf><xf numFmtId="0" fontId="1" fillId="3" borderId="22" xfId="0" applyFont="1" applyFill="1" applyBorder="1" applyAlignment="1"><alignment horizontal="right" vertical="bottom"/></xf><xf numFmtId="0" fontId="1" fillId="3" borderId="40" xfId="0" applyFont="1" applyFill="1" applyBorder="1" applyAlignment="1"><alignment horizontal="right" vertical="bottom"/></xf><xf numFmtId="0" fontId="1" fillId="3" borderId="41" xfId="0" applyFont="1" applyFill="1" applyBorder="1" applyAlignment="1"><alignment horizontal="right" vertical="bottom"/></xf><xf numFmtId="0" fontId="1" fillId="3" borderId="42" xfId="0" applyFont="1" applyFill="1" applyBorder="1" applyAlignment="1"><alignment horizontal="right" vertical="bottom"/></xf><xf numFmtId="0" fontId="1" fillId="3" borderId="0" xfId="0" applyFont="1" applyFill="1" applyAlignment="1"><alignment horizontal="right" vertical="bottom"/></xf><xf numFmtId="0" fontId="1" fillId="3" borderId="21" xfId="0" applyFont="1" applyFill="1" applyBorder="1" applyAlignment="1"><alignment horizontal="right" vertical="bottom"/></xf><xf numFmtId="49" fontId="8" fillId="6" borderId="9" xfId="0" applyNumberFormat="1" applyFont="1" applyFill="1" applyBorder="1" applyAlignment="1"><alignment horizontal="center" vertical="center" wrapText="1" readingOrder="2"/></xf><xf numFmtId="0" fontId="1" fillId="2" borderId="43" xfId="0" applyFont="1" applyFill="1" applyBorder="1"/><xf numFmtId="0" fontId="1" fillId="2" borderId="44" xfId="0" applyFont="1" applyFill="1" applyBorder="1"/><xf numFmtId="0" fontId="1" fillId="4" borderId="45" xfId="0" applyFont="1" applyFill="1" applyBorder="1" applyAlignment="1"><alignment horizontal="right" vertical="bottom"/></xf><xf numFmtId="0" fontId="1" fillId="3" borderId="16" xfId="0" applyFont="1" applyFill="1" applyBorder="1" applyAlignment="1"><alignment horizontal="right" vertical="bottom"/></xf><xf numFmtId="3" fontId="12" fillId="4" borderId="9" xfId="0" applyNumberFormat="1" applyFont="1" applyFill="1" applyBorder="1" applyAlignment="1"><alignment horizontal="center" vertical="center" wrapText="1" readingOrder="2"/></xf><xf numFmtId="3" fontId="13" fillId="4" borderId="9" xfId="0" applyNumberFormat="1" applyFont="1" applyFill="1" applyBorder="1" applyAlignment="1"><alignment horizontal="center" vertical="center" wrapText="1" readingOrder="2"/></xf><xf numFmtId="3" fontId="14" fillId="4" borderId="9" xfId="0" applyNumberFormat="1" applyFont="1" applyFill="1" applyBorder="1" applyAlignment="1"><alignment horizontal="center" vertical="center" wrapText="1" readingOrder="2"/></xf><xf numFmtId="3" fontId="12" fillId="4" borderId="46" xfId="0" applyNumberFormat="1" applyFont="1" applyFill="1" applyBorder="1" applyAlignment="1"><alignment horizontal="center" vertical="center" wrapText="1" readingOrder="2"/></xf><xf numFmtId="0" fontId="1" fillId="2" borderId="47" xfId="0" applyFont="1" applyFill="1" applyBorder="1"/><xf numFmtId="0" fontId="1" fillId="2" borderId="48" xfId="0" applyFont="1" applyFill="1" applyBorder="1"/><xf numFmtId="3" fontId="13" fillId="4" borderId="46" xfId="0" applyNumberFormat="1" applyFont="1" applyFill="1" applyBorder="1" applyAlignment="1"><alignment horizontal="center" vertical="center" wrapText="1" readingOrder="2"/></xf><xf numFmtId="3" fontId="14" fillId="4" borderId="46" xfId="0" applyNumberFormat="1" applyFont="1" applyFill="1" applyBorder="1" applyAlignment="1"><alignment horizontal="center" vertical="center" wrapText="1" readingOrder="2"/></xf><xf numFmtId="0" fontId="1" fillId="3" borderId="49" xfId="0" applyFont="1" applyFill="1" applyBorder="1" applyAlignment="1"><alignment horizontal="right" vertical="bottom"/></xf><xf numFmtId="0" fontId="1" fillId="3" borderId="50" xfId="0" applyFont="1" applyFill="1" applyBorder="1" applyAlignment="1"><alignment horizontal="right" vertical="bottom"/></xf><xf numFmtId="0" fontId="1" fillId="4" borderId="27" xfId="0" applyFont="1" applyFill="1" applyBorder="1" applyAlignment="1"><alignment horizontal="right" vertical="bottom"/></xf><xf numFmtId="0" fontId="1" fillId="4" borderId="32" xfId="0" applyFont="1" applyFill="1" applyBorder="1" applyAlignment="1"><alignment horizontal="right" vertical="bottom"/></xf><xf numFmtId="0" fontId="1" fillId="4" borderId="51" xfId="0" applyFont="1" applyFill="1" applyBorder="1" applyAlignment="1"><alignment horizontal="right" vertical="bottom"/></xf><xf numFmtId="49" fontId="15" fillId="9" borderId="7" xfId="0" applyNumberFormat="1" applyFont="1" applyFill="1" applyBorder="1" applyAlignment="1"><alignment horizontal="center" vertical="center" wrapText="1" readingOrder="2"/></xf><xf numFmtId="49" fontId="16" fillId="4" borderId="7" xfId="0" applyNumberFormat="1" applyFont="1" applyFill="1" applyBorder="1" applyAlignment="1"><alignment horizontal="right" vertical="center" wrapText="1" readingOrder="2"/></xf><xf numFmtId="0" fontId="6" fillId="4" borderId="7" xfId="0" applyFont="1" applyFill="1" applyBorder="1" applyAlignment="1"><alignment horizontal="center" vertical="center" wrapText="1" readingOrder="2"/></xf><xf numFmtId="49" fontId="6" fillId="4" borderId="7" xfId="0" applyNumberFormat="1" applyFont="1" applyFill="1" applyBorder="1" applyAlignment="1"><alignment horizontal="center" vertical="center" wrapText="1" readingOrder="2"/></xf><xf numFmtId="0" fontId="2" fillId="5" borderId="7" xfId="0" applyFont="1" applyFill="1" applyBorder="1" applyAlignment="1"><alignment horizontal="center" vertical="center" wrapText="1" readingOrder="2"/></xf><xf numFmtId="0" fontId="1" fillId="3" borderId="52" xfId="0" applyFont="1" applyFill="1" applyBorder="1" applyAlignment="1"><alignment horizontal="right" vertical="bottom"/></xf><xf numFmtId="0" fontId="1" fillId="3" borderId="53" xfId="0" applyFont="1" applyFill="1" applyBorder="1" applyAlignment="1"><alignment horizontal="right" vertical="bottom"/></xf><xf numFmtId="49" fontId="7" fillId="3" borderId="42" xfId="0" applyNumberFormat="1" applyFont="1" applyFill="1" applyBorder="1" applyAlignment="1"><alignment horizontal="center" vertical="center" wrapText="1" readingOrder="2"/></xf><xf numFmtId="49" fontId="7" fillId="3" borderId="51" xfId="0" applyNumberFormat="1" applyFont="1" applyFill="1" applyBorder="1" applyAlignment="1"><alignment horizontal="center" vertical="center" wrapText="1" readingOrder="2"/></xf><xf numFmtId="0" fontId="1" fillId="2" borderId="51" xfId="0" applyFont="1" applyFill="1" applyBorder="1"/><xf numFmtId="49" fontId="17" fillId="3" borderId="42" xfId="0" applyNumberFormat="1" applyFont="1" applyFill="1" applyBorder="1" applyAlignment="1"><alignment horizontal="center" vertical="center" wrapText="1" readingOrder="2"/></xf><xf numFmtId="49" fontId="18" fillId="3" borderId="51" xfId="0" applyNumberFormat="1" applyFont="1" applyFill="1" applyBorder="1" applyAlignment="1"><alignment horizontal="center" vertical="center" wrapText="1" readingOrder="2"/></xf><xf numFmtId="0" fontId="1" fillId="3" borderId="51" xfId="0" applyFont="1" applyFill="1" applyBorder="1" applyAlignment="1"><alignment horizontal="right" vertical="bottom"/></xf><xf numFmtId="0" fontId="1" fillId="3" borderId="54" xfId="0" applyFont="1" applyFill="1" applyBorder="1" applyAlignment="1"><alignment horizontal="right" vertical="bottom"/></xf><xf numFmtId="0" fontId="1" fillId="3" borderId="55" xfId="0" applyFont="1" applyFill="1" applyBorder="1" applyAlignment="1"><alignment horizontal="right" vertical="bottom"/></xf><xf numFmtId="0" fontId="1" fillId="3" borderId="56" xfId="0" applyFont="1" applyFill="1" applyBorder="1" applyAlignment="1"><alignment horizontal="right" vertical="bottom"/></xf><xf numFmtId="0" fontId="1" fillId="4" borderId="57" xfId="0" applyFont="1" applyFill="1" applyBorder="1" applyAlignment="1"><alignment horizontal="right" vertical="bottom"/></xf></cellXfs><cellStyles count="1"><cellStyle name="Normal" xfId="0" builtinId="0"/></cellStyles><dxfs count="0"/><tableStyles count="0" defaultTableStyle="TableStyleMedium2" defaultPivotStyle="PivotStyleLight16"/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>
      <c r="A2" s="9"/>
      <c r="B2" s="10" t="s">
        <v>0</v>
      </c>
      <c r="C2" s="11"/>
      <c r="D2" s="12" t="s">
        <v>1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>
      <c r="A3" s="9"/>
      <c r="B3" s="10" t="s">
        <v>2</v>
      </c>
      <c r="C3" s="11" t="s">
        <v>3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>
      <c r="A4" s="9"/>
      <c r="B4" s="10" t="s">
        <v>4</v>
      </c>
      <c r="C4" s="11" t="s">
        <v>5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>
      <c r="A5" s="9"/>
      <c r="B5" s="10" t="s">
        <v>6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>
      <c r="A6" s="9"/>
      <c r="B6" s="10" t="s">
        <v>7</v>
      </c>
      <c r="C6" s="26" t="s">
        <v>8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>
      <c r="A7" s="9"/>
      <c r="B7" s="10" t="s">
        <v>9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>
      <c r="A8" s="9"/>
      <c r="B8" s="10" t="s">
        <v>10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>
      <c r="A10" s="43" t="s">
        <v>11</v>
      </c>
      <c r="B10" s="44" t="s">
        <v>12</v>
      </c>
      <c r="C10" s="44" t="s">
        <v>13</v>
      </c>
      <c r="D10" s="45"/>
      <c r="E10" s="44" t="s">
        <v>14</v>
      </c>
      <c r="F10" s="45"/>
      <c r="G10" s="46" t="s">
        <v>15</v>
      </c>
      <c r="H10" s="46" t="s">
        <v>16</v>
      </c>
      <c r="I10" s="44" t="s">
        <v>17</v>
      </c>
      <c r="J10" s="47"/>
      <c r="K10" s="45"/>
      <c r="L10" s="48"/>
    </row>
    <row r="11" ht="18" customHeight="1" spans="1:12" s="2" customFormat="1">
      <c r="A11" s="49"/>
      <c r="B11" s="49"/>
      <c r="C11" s="50" t="s">
        <v>18</v>
      </c>
      <c r="D11" s="50" t="s">
        <v>19</v>
      </c>
      <c r="E11" s="50" t="s">
        <v>18</v>
      </c>
      <c r="F11" s="50" t="s">
        <v>19</v>
      </c>
      <c r="G11" s="49"/>
      <c r="H11" s="49"/>
      <c r="I11" s="50" t="s">
        <v>20</v>
      </c>
      <c r="J11" s="50" t="s">
        <v>21</v>
      </c>
      <c r="K11" s="50" t="s">
        <v>22</v>
      </c>
      <c r="L11" s="48"/>
    </row>
    <row r="12" ht="17.1" customHeight="1" spans="1:12" s="2" customFormat="1">
      <c r="A12" s="51">
        <v>1</v>
      </c>
      <c r="B12" s="51" t="s">
        <v>23</v>
      </c>
      <c r="C12" s="52">
        <v>1500000</v>
      </c>
      <c r="D12" s="53"/>
      <c r="E12" s="53"/>
      <c r="F12" s="53"/>
      <c r="G12" s="51" t="s">
        <v>24</v>
      </c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>
      <c r="A13" s="51">
        <v>2</v>
      </c>
      <c r="B13" s="51" t="s">
        <v>27</v>
      </c>
      <c r="C13" s="52"/>
      <c r="D13" s="54">
        <v>325000</v>
      </c>
      <c r="E13" s="53"/>
      <c r="F13" s="53"/>
      <c r="G13" s="51"/>
      <c r="H13" s="51"/>
      <c r="I13" s="51" t="s">
        <v>28</v>
      </c>
      <c r="J13" s="51"/>
      <c r="K13" s="51" t="s">
        <v>29</v>
      </c>
      <c r="L13" s="48"/>
    </row>
    <row r="14" ht="17.1" customHeight="1" spans="1:12" s="2" customFormat="1">
      <c r="A14" s="51">
        <v>3</v>
      </c>
      <c r="B14" s="51" t="s">
        <v>30</v>
      </c>
      <c r="C14" s="52"/>
      <c r="D14" s="53"/>
      <c r="E14" s="52">
        <v>750.5</v>
      </c>
      <c r="F14" s="53"/>
      <c r="G14" s="51"/>
      <c r="H14" s="51"/>
      <c r="I14" s="51" t="s">
        <v>25</v>
      </c>
      <c r="J14" s="51"/>
      <c r="K14" s="51" t="s">
        <v>31</v>
      </c>
      <c r="L14" s="48"/>
    </row>
    <row r="15" ht="17.1" customHeight="1" spans="1:12" s="2" customFormat="1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>
      <c r="A23" s="43" t="s">
        <v>32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>
      <c r="A24" s="58" t="s">
        <v>33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>
      <c r="A26" s="65"/>
      <c r="B26" s="66"/>
      <c r="C26" s="67"/>
      <c r="D26" s="68" t="s">
        <v>34</v>
      </c>
      <c r="E26" s="69"/>
      <c r="F26" s="70"/>
      <c r="G26" s="68" t="s">
        <v>35</v>
      </c>
      <c r="H26" s="70"/>
      <c r="I26" s="68" t="s">
        <v>36</v>
      </c>
      <c r="J26" s="69"/>
      <c r="K26" s="70"/>
      <c r="L26" s="71"/>
    </row>
    <row r="27" ht="26.1" customHeight="1" spans="1:12" s="2" customFormat="1">
      <c r="A27" s="65"/>
      <c r="B27" s="72"/>
      <c r="C27" s="68" t="s">
        <v>37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>
      <c r="A28" s="65"/>
      <c r="B28" s="72"/>
      <c r="C28" s="68" t="s">
        <v>38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>
      <c r="A29" s="65"/>
      <c r="B29" s="66"/>
      <c r="C29" s="81"/>
      <c r="D29" s="44" t="s">
        <v>39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>
      <c r="A31" s="86" t="s">
        <v>40</v>
      </c>
      <c r="B31" s="47"/>
      <c r="C31" s="47"/>
      <c r="D31" s="47"/>
      <c r="E31" s="47"/>
      <c r="F31" s="45"/>
      <c r="G31" s="86" t="s">
        <v>41</v>
      </c>
      <c r="H31" s="47"/>
      <c r="I31" s="47"/>
      <c r="J31" s="47"/>
      <c r="K31" s="45"/>
      <c r="L31" s="48"/>
    </row>
    <row r="32" ht="15.95" customHeight="1" spans="1:12" s="2" customFormat="1">
      <c r="A32" s="46" t="s">
        <v>11</v>
      </c>
      <c r="B32" s="46" t="s">
        <v>42</v>
      </c>
      <c r="C32" s="46" t="s">
        <v>43</v>
      </c>
      <c r="D32" s="46"/>
      <c r="E32" s="57"/>
      <c r="F32" s="57"/>
      <c r="G32" s="87" t="s">
        <v>44</v>
      </c>
      <c r="H32" s="47"/>
      <c r="I32" s="47"/>
      <c r="J32" s="47"/>
      <c r="K32" s="45"/>
      <c r="L32" s="48"/>
    </row>
    <row r="33" ht="15.95" customHeight="1" spans="1:12" s="2" customFormat="1">
      <c r="A33" s="88">
        <v>1</v>
      </c>
      <c r="B33" s="89" t="s">
        <v>45</v>
      </c>
      <c r="C33" s="88">
        <f>COUNTIF(I12:I22,"قبض")</f>
      </c>
      <c r="D33" s="52"/>
      <c r="E33" s="88"/>
      <c r="F33" s="88"/>
      <c r="G33" s="87" t="s">
        <v>44</v>
      </c>
      <c r="H33" s="47"/>
      <c r="I33" s="47"/>
      <c r="J33" s="47"/>
      <c r="K33" s="45"/>
      <c r="L33" s="48"/>
    </row>
    <row r="34" ht="15.95" customHeight="1" spans="1:12" s="2" customFormat="1">
      <c r="A34" s="88">
        <v>2</v>
      </c>
      <c r="B34" s="89" t="s">
        <v>46</v>
      </c>
      <c r="C34" s="88">
        <f>COUNTIF(I12:I22,"قبض مصرفي")</f>
      </c>
      <c r="D34" s="54"/>
      <c r="E34" s="88"/>
      <c r="F34" s="88"/>
      <c r="G34" s="87" t="s">
        <v>44</v>
      </c>
      <c r="H34" s="47"/>
      <c r="I34" s="47"/>
      <c r="J34" s="47"/>
      <c r="K34" s="45"/>
      <c r="L34" s="48"/>
    </row>
    <row r="35" ht="15.95" customHeight="1" spans="1:12" s="2" customFormat="1">
      <c r="A35" s="88">
        <v>3</v>
      </c>
      <c r="B35" s="89" t="s">
        <v>47</v>
      </c>
      <c r="C35" s="88">
        <f>COUNTIF(I12:I22,"صرف")</f>
      </c>
      <c r="D35" s="54"/>
      <c r="E35" s="88"/>
      <c r="F35" s="88"/>
      <c r="G35" s="87" t="s">
        <v>44</v>
      </c>
      <c r="H35" s="47"/>
      <c r="I35" s="47"/>
      <c r="J35" s="47"/>
      <c r="K35" s="45"/>
      <c r="L35" s="48"/>
    </row>
    <row r="36" ht="15.95" customHeight="1" spans="1:12" s="2" customFormat="1">
      <c r="A36" s="88">
        <v>4</v>
      </c>
      <c r="B36" s="89" t="s">
        <v>48</v>
      </c>
      <c r="C36" s="88">
        <f>COUNTIF(I12:I22,"صرف مصرفي")</f>
      </c>
      <c r="D36" s="54"/>
      <c r="E36" s="88"/>
      <c r="F36" s="88"/>
      <c r="G36" s="87" t="s">
        <v>44</v>
      </c>
      <c r="H36" s="47"/>
      <c r="I36" s="47"/>
      <c r="J36" s="47"/>
      <c r="K36" s="45"/>
      <c r="L36" s="48"/>
    </row>
    <row r="37" ht="15.95" customHeight="1" spans="1:12" s="2" customFormat="1">
      <c r="A37" s="88">
        <v>5</v>
      </c>
      <c r="B37" s="89" t="s">
        <v>49</v>
      </c>
      <c r="C37" s="88">
        <v>0</v>
      </c>
      <c r="D37" s="54"/>
      <c r="E37" s="88"/>
      <c r="F37" s="88"/>
      <c r="G37" s="87" t="s">
        <v>44</v>
      </c>
      <c r="H37" s="47"/>
      <c r="I37" s="47"/>
      <c r="J37" s="47"/>
      <c r="K37" s="45"/>
      <c r="L37" s="48"/>
    </row>
    <row r="38" ht="17.1" customHeight="1" spans="1:12" s="2" customFormat="1">
      <c r="A38" s="88">
        <v>6</v>
      </c>
      <c r="B38" s="89" t="s">
        <v>50</v>
      </c>
      <c r="C38" s="88">
        <v>0</v>
      </c>
      <c r="D38" s="54"/>
      <c r="E38" s="88"/>
      <c r="F38" s="88"/>
      <c r="G38" s="87" t="s">
        <v>44</v>
      </c>
      <c r="H38" s="47"/>
      <c r="I38" s="47"/>
      <c r="J38" s="47"/>
      <c r="K38" s="45"/>
      <c r="L38" s="48"/>
    </row>
    <row r="39" ht="15" customHeight="1" spans="1:12" s="2" customFormat="1">
      <c r="A39" s="44" t="s">
        <v>51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>
      <c r="A41" s="93" t="s">
        <v>4</v>
      </c>
      <c r="B41" s="1"/>
      <c r="C41" s="1"/>
      <c r="D41" s="1"/>
      <c r="E41" s="66"/>
      <c r="F41" s="66"/>
      <c r="G41" s="66"/>
      <c r="H41" s="94" t="s">
        <v>52</v>
      </c>
      <c r="I41" s="1"/>
      <c r="J41" s="1"/>
      <c r="K41" s="95"/>
      <c r="L41" s="42"/>
    </row>
    <row r="42" ht="15" customHeight="1" spans="1:12" s="2" customFormat="1">
      <c r="A42" s="96" t="s">
        <v>5</v>
      </c>
      <c r="B42" s="1"/>
      <c r="C42" s="1"/>
      <c r="D42" s="1"/>
      <c r="E42" s="66"/>
      <c r="F42" s="66"/>
      <c r="G42" s="66"/>
      <c r="H42" s="97" t="s">
        <v>53</v>
      </c>
      <c r="I42" s="1"/>
      <c r="J42" s="1"/>
      <c r="K42" s="95"/>
      <c r="L42" s="42"/>
    </row>
    <row r="43" ht="15" customHeight="1" spans="1:12" s="2" customForma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